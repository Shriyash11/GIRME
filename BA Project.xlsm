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Ex1.xml" ContentType="application/vnd.ms-office.chartex+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harts/chart24.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shriy\Desktop\BA project\"/>
    </mc:Choice>
  </mc:AlternateContent>
  <xr:revisionPtr revIDLastSave="0" documentId="13_ncr:1_{01CC1D9E-0CA3-4901-86EB-7162946DC319}" xr6:coauthVersionLast="47" xr6:coauthVersionMax="47" xr10:uidLastSave="{00000000-0000-0000-0000-000000000000}"/>
  <bookViews>
    <workbookView xWindow="-108" yWindow="-108" windowWidth="23256" windowHeight="13176" activeTab="2" xr2:uid="{EAD27E00-4F52-4C8B-93E4-6CCBE1A6290D}"/>
  </bookViews>
  <sheets>
    <sheet name="master sheet" sheetId="3" r:id="rId1"/>
    <sheet name="visualization" sheetId="8" r:id="rId2"/>
    <sheet name="Dashboard" sheetId="16" r:id="rId3"/>
  </sheets>
  <definedNames>
    <definedName name="_xlchart.v1.0" hidden="1">visualization!$D$269:$D$273</definedName>
    <definedName name="_xlchart.v1.1" hidden="1">visualization!$E$268</definedName>
    <definedName name="_xlchart.v1.2" hidden="1">visualization!$E$269:$E$273</definedName>
    <definedName name="ExternalData_1" localSheetId="0" hidden="1">'master sheet'!$A$1:$AA$487</definedName>
    <definedName name="Slicer_Partner.Partner">#N/A</definedName>
    <definedName name="Slicer_Product.Product_Code">#N/A</definedName>
    <definedName name="Slicer_Region">#N/A</definedName>
  </definedNames>
  <calcPr calcId="18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0" i="8" l="1"/>
  <c r="E30" i="8"/>
  <c r="D31" i="8"/>
  <c r="E31" i="8"/>
  <c r="D32" i="8"/>
  <c r="E32" i="8"/>
  <c r="D33" i="8"/>
  <c r="E33" i="8"/>
  <c r="D34" i="8"/>
  <c r="E34" i="8"/>
  <c r="D35" i="8"/>
  <c r="E35" i="8"/>
  <c r="D36" i="8"/>
  <c r="E36" i="8"/>
  <c r="D37" i="8"/>
  <c r="E37" i="8"/>
  <c r="D38" i="8"/>
  <c r="E38" i="8"/>
  <c r="D39" i="8"/>
  <c r="E39" i="8"/>
  <c r="D40" i="8"/>
  <c r="E40" i="8"/>
  <c r="D41" i="8"/>
  <c r="E41" i="8"/>
  <c r="D42" i="8"/>
  <c r="E42" i="8"/>
  <c r="D43" i="8"/>
  <c r="E43" i="8"/>
  <c r="D44" i="8"/>
  <c r="E44" i="8"/>
  <c r="D45" i="8"/>
  <c r="E45" i="8"/>
  <c r="D46" i="8"/>
  <c r="E46" i="8"/>
  <c r="D47" i="8"/>
  <c r="E47" i="8"/>
  <c r="D48" i="8"/>
  <c r="E48" i="8"/>
  <c r="D49" i="8"/>
  <c r="E49" i="8"/>
  <c r="D50" i="8"/>
  <c r="E50" i="8"/>
  <c r="D51" i="8"/>
  <c r="E51" i="8"/>
  <c r="D52" i="8"/>
  <c r="E52" i="8"/>
  <c r="D53" i="8"/>
  <c r="E53" i="8"/>
  <c r="D54" i="8"/>
  <c r="E54" i="8"/>
  <c r="E29" i="8"/>
  <c r="D29" i="8"/>
  <c r="D269" i="8"/>
  <c r="E269" i="8"/>
  <c r="D270" i="8"/>
  <c r="E270" i="8"/>
  <c r="D271" i="8"/>
  <c r="E271" i="8"/>
  <c r="D272" i="8"/>
  <c r="E272" i="8"/>
  <c r="D273" i="8"/>
  <c r="E273" i="8"/>
  <c r="E268" i="8"/>
  <c r="D268" i="8"/>
  <c r="D453" i="8"/>
  <c r="E453" i="8"/>
  <c r="F453" i="8" s="1"/>
  <c r="D454" i="8"/>
  <c r="E454" i="8"/>
  <c r="F454" i="8" s="1"/>
  <c r="D455" i="8"/>
  <c r="E455" i="8"/>
  <c r="D456" i="8"/>
  <c r="E456" i="8"/>
  <c r="D457" i="8"/>
  <c r="E457" i="8"/>
  <c r="D458" i="8"/>
  <c r="E458" i="8"/>
  <c r="D459" i="8"/>
  <c r="E459" i="8"/>
  <c r="D460" i="8"/>
  <c r="E460" i="8"/>
  <c r="D461" i="8"/>
  <c r="E461" i="8"/>
  <c r="D462" i="8"/>
  <c r="E462" i="8"/>
  <c r="D463" i="8"/>
  <c r="E463" i="8"/>
  <c r="D464" i="8"/>
  <c r="E464" i="8"/>
  <c r="D465" i="8"/>
  <c r="E465" i="8"/>
  <c r="D466" i="8"/>
  <c r="E466" i="8"/>
  <c r="D467" i="8"/>
  <c r="E467" i="8"/>
  <c r="D468" i="8"/>
  <c r="E468" i="8"/>
  <c r="D469" i="8"/>
  <c r="E469" i="8"/>
  <c r="D470" i="8"/>
  <c r="E470" i="8"/>
  <c r="D471" i="8"/>
  <c r="E471" i="8"/>
  <c r="D472" i="8"/>
  <c r="E472" i="8"/>
  <c r="D473" i="8"/>
  <c r="E473" i="8"/>
  <c r="D474" i="8"/>
  <c r="E474" i="8"/>
  <c r="D475" i="8"/>
  <c r="E475" i="8"/>
  <c r="D476" i="8"/>
  <c r="E476" i="8"/>
  <c r="D477" i="8"/>
  <c r="E477" i="8"/>
  <c r="D478" i="8"/>
  <c r="E478" i="8"/>
  <c r="D479" i="8"/>
  <c r="E479" i="8"/>
  <c r="D480" i="8"/>
  <c r="E480" i="8"/>
  <c r="D481" i="8"/>
  <c r="E481" i="8"/>
  <c r="D482" i="8"/>
  <c r="E482" i="8"/>
  <c r="D483" i="8"/>
  <c r="E483" i="8"/>
  <c r="D484" i="8"/>
  <c r="E484" i="8"/>
  <c r="D485" i="8"/>
  <c r="E485" i="8"/>
  <c r="D486" i="8"/>
  <c r="E486" i="8"/>
  <c r="D487" i="8"/>
  <c r="E487" i="8"/>
  <c r="D488" i="8"/>
  <c r="E488" i="8"/>
  <c r="D489" i="8"/>
  <c r="E489" i="8"/>
  <c r="D490" i="8"/>
  <c r="E490" i="8"/>
  <c r="D491" i="8"/>
  <c r="E491" i="8"/>
  <c r="D492" i="8"/>
  <c r="E492" i="8"/>
  <c r="D493" i="8"/>
  <c r="E493" i="8"/>
  <c r="D494" i="8"/>
  <c r="E494" i="8"/>
  <c r="D495" i="8"/>
  <c r="E495" i="8"/>
  <c r="D496" i="8"/>
  <c r="E496" i="8"/>
  <c r="D497" i="8"/>
  <c r="E497" i="8"/>
  <c r="D498" i="8"/>
  <c r="E498" i="8"/>
  <c r="D499" i="8"/>
  <c r="E499" i="8"/>
  <c r="D500" i="8"/>
  <c r="E500" i="8"/>
  <c r="D501" i="8"/>
  <c r="E501" i="8"/>
  <c r="D502" i="8"/>
  <c r="E502" i="8"/>
  <c r="D503" i="8"/>
  <c r="E503" i="8"/>
  <c r="D504" i="8"/>
  <c r="E504" i="8"/>
  <c r="D505" i="8"/>
  <c r="E505" i="8"/>
  <c r="D506" i="8"/>
  <c r="E506" i="8"/>
  <c r="D507" i="8"/>
  <c r="E507" i="8"/>
  <c r="D508" i="8"/>
  <c r="E508" i="8"/>
  <c r="D509" i="8"/>
  <c r="E509" i="8"/>
  <c r="D510" i="8"/>
  <c r="E510" i="8"/>
  <c r="D511" i="8"/>
  <c r="E511" i="8"/>
  <c r="D512" i="8"/>
  <c r="E512" i="8"/>
  <c r="D513" i="8"/>
  <c r="E513" i="8"/>
  <c r="D514" i="8"/>
  <c r="E514" i="8"/>
  <c r="D515" i="8"/>
  <c r="E515" i="8"/>
  <c r="D516" i="8"/>
  <c r="E516" i="8"/>
  <c r="D517" i="8"/>
  <c r="E517" i="8"/>
  <c r="D518" i="8"/>
  <c r="E518" i="8"/>
  <c r="D519" i="8"/>
  <c r="E519" i="8"/>
  <c r="D520" i="8"/>
  <c r="E520" i="8"/>
  <c r="D521" i="8"/>
  <c r="E521" i="8"/>
  <c r="D522" i="8"/>
  <c r="E522" i="8"/>
  <c r="D523" i="8"/>
  <c r="E523" i="8"/>
  <c r="D524" i="8"/>
  <c r="E524" i="8"/>
  <c r="D525" i="8"/>
  <c r="E525" i="8"/>
  <c r="D526" i="8"/>
  <c r="E526" i="8"/>
  <c r="D527" i="8"/>
  <c r="E527" i="8"/>
  <c r="D528" i="8"/>
  <c r="E528" i="8"/>
  <c r="D529" i="8"/>
  <c r="E529" i="8"/>
  <c r="D530" i="8"/>
  <c r="E530" i="8"/>
  <c r="D531" i="8"/>
  <c r="E531" i="8"/>
  <c r="D532" i="8"/>
  <c r="E532" i="8"/>
  <c r="D533" i="8"/>
  <c r="E533" i="8"/>
  <c r="D534" i="8"/>
  <c r="E534" i="8"/>
  <c r="D535" i="8"/>
  <c r="E535" i="8"/>
  <c r="D536" i="8"/>
  <c r="E536" i="8"/>
  <c r="D537" i="8"/>
  <c r="E537" i="8"/>
  <c r="D538" i="8"/>
  <c r="E538" i="8"/>
  <c r="D539" i="8"/>
  <c r="E539" i="8"/>
  <c r="D540" i="8"/>
  <c r="E540" i="8"/>
  <c r="D541" i="8"/>
  <c r="E541" i="8"/>
  <c r="D542" i="8"/>
  <c r="E542" i="8"/>
  <c r="D543" i="8"/>
  <c r="E543" i="8"/>
  <c r="D544" i="8"/>
  <c r="E544" i="8"/>
  <c r="D545" i="8"/>
  <c r="E545" i="8"/>
  <c r="D546" i="8"/>
  <c r="E546" i="8"/>
  <c r="D547" i="8"/>
  <c r="E547" i="8"/>
  <c r="D548" i="8"/>
  <c r="E548" i="8"/>
  <c r="D549" i="8"/>
  <c r="E549" i="8"/>
  <c r="D550" i="8"/>
  <c r="E550" i="8"/>
  <c r="D551" i="8"/>
  <c r="E551" i="8"/>
  <c r="D552" i="8"/>
  <c r="E552" i="8"/>
  <c r="E452" i="8"/>
  <c r="D452" i="8"/>
  <c r="E347" i="8"/>
  <c r="D347" i="8"/>
  <c r="N12" i="8"/>
  <c r="N13" i="8"/>
  <c r="N14" i="8"/>
  <c r="N15" i="8"/>
  <c r="O11" i="8"/>
  <c r="N11" i="8"/>
  <c r="J4" i="8"/>
  <c r="K4" i="8"/>
  <c r="J5" i="8"/>
  <c r="K5" i="8"/>
  <c r="J6" i="8"/>
  <c r="K6" i="8"/>
  <c r="J7" i="8"/>
  <c r="K7" i="8"/>
  <c r="J8" i="8"/>
  <c r="K8" i="8"/>
  <c r="J9" i="8"/>
  <c r="K9" i="8"/>
  <c r="J10" i="8"/>
  <c r="K10" i="8"/>
  <c r="J11" i="8"/>
  <c r="K11" i="8"/>
  <c r="J12" i="8"/>
  <c r="K12" i="8"/>
  <c r="J13" i="8"/>
  <c r="K13" i="8"/>
  <c r="J14" i="8"/>
  <c r="K14" i="8"/>
  <c r="J15" i="8"/>
  <c r="K15" i="8"/>
  <c r="K3" i="8"/>
  <c r="J3" i="8"/>
  <c r="N253" i="8"/>
  <c r="M253" i="8"/>
  <c r="N256" i="8"/>
  <c r="M256" i="8"/>
  <c r="M251" i="8"/>
  <c r="M254" i="8"/>
  <c r="M257" i="8"/>
  <c r="N250" i="8"/>
  <c r="M250" i="8"/>
  <c r="A348" i="8"/>
  <c r="P257" i="8"/>
  <c r="N257" i="8"/>
  <c r="O70" i="8"/>
  <c r="B348" i="8"/>
  <c r="N254" i="8"/>
  <c r="P251" i="8"/>
  <c r="N69" i="8"/>
  <c r="C348" i="8"/>
  <c r="O71" i="8"/>
  <c r="O69" i="8"/>
  <c r="N71" i="8"/>
  <c r="N70" i="8"/>
  <c r="P254" i="8"/>
  <c r="N251" i="8"/>
  <c r="O251" i="8" l="1"/>
  <c r="O254" i="8"/>
  <c r="O257" i="8"/>
  <c r="I453" i="8"/>
  <c r="F455" i="8"/>
  <c r="I452" i="8" s="1"/>
  <c r="L15" i="8"/>
  <c r="O7" i="8" s="1"/>
  <c r="L9" i="8"/>
  <c r="O5" i="8" s="1"/>
  <c r="L12" i="8"/>
  <c r="O6" i="8" s="1"/>
  <c r="L6" i="8"/>
  <c r="O4" i="8" s="1"/>
  <c r="I454" i="8" l="1"/>
  <c r="H456" i="8" s="1"/>
  <c r="O8" i="8"/>
  <c r="P6" i="8" s="1"/>
  <c r="O14" i="8" s="1"/>
  <c r="P14" i="8" s="1"/>
  <c r="P7" i="8" l="1"/>
  <c r="O15" i="8" s="1"/>
  <c r="P15" i="8" s="1"/>
  <c r="P5" i="8"/>
  <c r="O13" i="8" s="1"/>
  <c r="P13" i="8" s="1"/>
  <c r="P4" i="8"/>
  <c r="O12" i="8" s="1"/>
  <c r="P12" i="8" s="1"/>
  <c r="M69" i="8" l="1"/>
  <c r="M70" i="8"/>
  <c r="M71" i="8"/>
  <c r="N68" i="8"/>
  <c r="M68" i="8"/>
  <c r="D71" i="8"/>
  <c r="D4" i="8"/>
  <c r="E4" i="8"/>
  <c r="F4" i="8" s="1"/>
  <c r="D5" i="8"/>
  <c r="E5" i="8"/>
  <c r="F5" i="8" s="1"/>
  <c r="D6" i="8"/>
  <c r="E6" i="8"/>
  <c r="F6" i="8" s="1"/>
  <c r="D7" i="8"/>
  <c r="E7" i="8"/>
  <c r="F7" i="8" s="1"/>
  <c r="D8" i="8"/>
  <c r="E8" i="8"/>
  <c r="F8" i="8" s="1"/>
  <c r="D9" i="8"/>
  <c r="E9" i="8"/>
  <c r="F9" i="8" s="1"/>
  <c r="D10" i="8"/>
  <c r="E10" i="8"/>
  <c r="F10" i="8" s="1"/>
  <c r="D11" i="8"/>
  <c r="E11" i="8"/>
  <c r="F11" i="8" s="1"/>
  <c r="D12" i="8"/>
  <c r="E12" i="8"/>
  <c r="F12" i="8" s="1"/>
  <c r="D13" i="8"/>
  <c r="E13" i="8"/>
  <c r="F13" i="8" s="1"/>
  <c r="D14" i="8"/>
  <c r="E14" i="8"/>
  <c r="F14" i="8" s="1"/>
  <c r="D15" i="8"/>
  <c r="E15" i="8"/>
  <c r="F15" i="8" s="1"/>
  <c r="E3" i="8"/>
  <c r="F3" i="8" s="1"/>
  <c r="D3" i="8"/>
  <c r="C22" i="8"/>
  <c r="C23" i="8"/>
  <c r="C24" i="8"/>
  <c r="H292" i="8" l="1"/>
  <c r="H293" i="8"/>
  <c r="H294" i="8"/>
  <c r="H295" i="8"/>
  <c r="H296" i="8"/>
  <c r="AC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AC273" i="3"/>
  <c r="AC274" i="3"/>
  <c r="AC275" i="3"/>
  <c r="AC276" i="3"/>
  <c r="AC277" i="3"/>
  <c r="AC278" i="3"/>
  <c r="AC279" i="3"/>
  <c r="AC280" i="3"/>
  <c r="AC281" i="3"/>
  <c r="AC282" i="3"/>
  <c r="AC283" i="3"/>
  <c r="AC284" i="3"/>
  <c r="AC285" i="3"/>
  <c r="AC286" i="3"/>
  <c r="AC287" i="3"/>
  <c r="AC288" i="3"/>
  <c r="AC289" i="3"/>
  <c r="AC290" i="3"/>
  <c r="AC291" i="3"/>
  <c r="AC292" i="3"/>
  <c r="AC293" i="3"/>
  <c r="AC294" i="3"/>
  <c r="AC295" i="3"/>
  <c r="AC296" i="3"/>
  <c r="AC297" i="3"/>
  <c r="AC298" i="3"/>
  <c r="AC299" i="3"/>
  <c r="AC300" i="3"/>
  <c r="AC301" i="3"/>
  <c r="AC302" i="3"/>
  <c r="AC303" i="3"/>
  <c r="AC304" i="3"/>
  <c r="AC305" i="3"/>
  <c r="AC306" i="3"/>
  <c r="AC307" i="3"/>
  <c r="AC308" i="3"/>
  <c r="AC309" i="3"/>
  <c r="AC310" i="3"/>
  <c r="AC311" i="3"/>
  <c r="AC312" i="3"/>
  <c r="AC313" i="3"/>
  <c r="AC314" i="3"/>
  <c r="AC315" i="3"/>
  <c r="AC316" i="3"/>
  <c r="AC317" i="3"/>
  <c r="AC318" i="3"/>
  <c r="AC319" i="3"/>
  <c r="AC320" i="3"/>
  <c r="AC321" i="3"/>
  <c r="AC322" i="3"/>
  <c r="AC323" i="3"/>
  <c r="AC324" i="3"/>
  <c r="AC325" i="3"/>
  <c r="AC326" i="3"/>
  <c r="AC327" i="3"/>
  <c r="AC328" i="3"/>
  <c r="AC329" i="3"/>
  <c r="AC330" i="3"/>
  <c r="AC331" i="3"/>
  <c r="AC332" i="3"/>
  <c r="AC333" i="3"/>
  <c r="AC334" i="3"/>
  <c r="AC335" i="3"/>
  <c r="AC336" i="3"/>
  <c r="AC337" i="3"/>
  <c r="AC338" i="3"/>
  <c r="AC339" i="3"/>
  <c r="AC340" i="3"/>
  <c r="AC341" i="3"/>
  <c r="AC342" i="3"/>
  <c r="AC343" i="3"/>
  <c r="AC344" i="3"/>
  <c r="AC345" i="3"/>
  <c r="AC346" i="3"/>
  <c r="AC347" i="3"/>
  <c r="AC348" i="3"/>
  <c r="AC349" i="3"/>
  <c r="AC350" i="3"/>
  <c r="AC351" i="3"/>
  <c r="AC352" i="3"/>
  <c r="AC353" i="3"/>
  <c r="AC354" i="3"/>
  <c r="AC355" i="3"/>
  <c r="AC356" i="3"/>
  <c r="AC357" i="3"/>
  <c r="AC358" i="3"/>
  <c r="AC359" i="3"/>
  <c r="AC360" i="3"/>
  <c r="AC361" i="3"/>
  <c r="AC362" i="3"/>
  <c r="AC363" i="3"/>
  <c r="AC364" i="3"/>
  <c r="AC365" i="3"/>
  <c r="AC366" i="3"/>
  <c r="AC367" i="3"/>
  <c r="AC368" i="3"/>
  <c r="AC369" i="3"/>
  <c r="AC370" i="3"/>
  <c r="AC371" i="3"/>
  <c r="AC372" i="3"/>
  <c r="AC373" i="3"/>
  <c r="AC374" i="3"/>
  <c r="AC375" i="3"/>
  <c r="AC376" i="3"/>
  <c r="AC377" i="3"/>
  <c r="AC378" i="3"/>
  <c r="AC379" i="3"/>
  <c r="AC380" i="3"/>
  <c r="AC381" i="3"/>
  <c r="AC382" i="3"/>
  <c r="AC383" i="3"/>
  <c r="AC384" i="3"/>
  <c r="AC385" i="3"/>
  <c r="AC386" i="3"/>
  <c r="AC387" i="3"/>
  <c r="AC388" i="3"/>
  <c r="AC389" i="3"/>
  <c r="AC390" i="3"/>
  <c r="AC391" i="3"/>
  <c r="AC392" i="3"/>
  <c r="AC393" i="3"/>
  <c r="AC394" i="3"/>
  <c r="AC395" i="3"/>
  <c r="AC396" i="3"/>
  <c r="AC397" i="3"/>
  <c r="AC398" i="3"/>
  <c r="AC399" i="3"/>
  <c r="AC400" i="3"/>
  <c r="AC401" i="3"/>
  <c r="AC402" i="3"/>
  <c r="AC403" i="3"/>
  <c r="AC404" i="3"/>
  <c r="AC405" i="3"/>
  <c r="AC406" i="3"/>
  <c r="AC407" i="3"/>
  <c r="AC408" i="3"/>
  <c r="AC409" i="3"/>
  <c r="AC410" i="3"/>
  <c r="AC411" i="3"/>
  <c r="AC412" i="3"/>
  <c r="AC413" i="3"/>
  <c r="AC414" i="3"/>
  <c r="AC415" i="3"/>
  <c r="AC416" i="3"/>
  <c r="AC417" i="3"/>
  <c r="AC418" i="3"/>
  <c r="AC419" i="3"/>
  <c r="AC420" i="3"/>
  <c r="AC421" i="3"/>
  <c r="AC422" i="3"/>
  <c r="AC423" i="3"/>
  <c r="AC424" i="3"/>
  <c r="AC425" i="3"/>
  <c r="AC426" i="3"/>
  <c r="AC427" i="3"/>
  <c r="AC428" i="3"/>
  <c r="AC429" i="3"/>
  <c r="AC430" i="3"/>
  <c r="AC431" i="3"/>
  <c r="AC432" i="3"/>
  <c r="AC433" i="3"/>
  <c r="AC434" i="3"/>
  <c r="AC435" i="3"/>
  <c r="AC436" i="3"/>
  <c r="AC437" i="3"/>
  <c r="AC438" i="3"/>
  <c r="AC439" i="3"/>
  <c r="AC440" i="3"/>
  <c r="AC441" i="3"/>
  <c r="AC442" i="3"/>
  <c r="AC443" i="3"/>
  <c r="AC444" i="3"/>
  <c r="AC445" i="3"/>
  <c r="AC446" i="3"/>
  <c r="AC447" i="3"/>
  <c r="AC448" i="3"/>
  <c r="AC449" i="3"/>
  <c r="AC450" i="3"/>
  <c r="AC451" i="3"/>
  <c r="AC452" i="3"/>
  <c r="AC453" i="3"/>
  <c r="AC454" i="3"/>
  <c r="AC455" i="3"/>
  <c r="AC456" i="3"/>
  <c r="AC457" i="3"/>
  <c r="AC458" i="3"/>
  <c r="AC459" i="3"/>
  <c r="AC460" i="3"/>
  <c r="AC461" i="3"/>
  <c r="AC462" i="3"/>
  <c r="AC463" i="3"/>
  <c r="AC464" i="3"/>
  <c r="AC465" i="3"/>
  <c r="AC466" i="3"/>
  <c r="AC467" i="3"/>
  <c r="AC468" i="3"/>
  <c r="AC469" i="3"/>
  <c r="AC470" i="3"/>
  <c r="AC471" i="3"/>
  <c r="AC472" i="3"/>
  <c r="AC473" i="3"/>
  <c r="AC474" i="3"/>
  <c r="AC475" i="3"/>
  <c r="AC476" i="3"/>
  <c r="AC477" i="3"/>
  <c r="AC478" i="3"/>
  <c r="AC479" i="3"/>
  <c r="AC480" i="3"/>
  <c r="AC481" i="3"/>
  <c r="AC482" i="3"/>
  <c r="AC483" i="3"/>
  <c r="AC484" i="3"/>
  <c r="AC485" i="3"/>
  <c r="AC486" i="3"/>
  <c r="AC487" i="3"/>
  <c r="AB2" i="3"/>
  <c r="AB3" i="3"/>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D72" i="8"/>
  <c r="D73" i="8"/>
  <c r="D74"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5234E1-6F43-47F0-AE2E-770DFC2030BF}"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4717D866-40AB-4AAB-B568-D63DF6B2CA73}" keepAlive="1" name="Query - Fact" description="Connection to the 'Fact' query in the workbook." type="5" refreshedVersion="8" background="1" saveData="1">
    <dbPr connection="Provider=Microsoft.Mashup.OleDb.1;Data Source=$Workbook$;Location=Fact;Extended Properties=&quot;&quot;" command="SELECT * FROM [Fact]"/>
  </connection>
  <connection id="3" xr16:uid="{81AD46AB-8B96-4A7A-87F8-69B74610BCF9}" keepAlive="1" name="Query - Fact (2)" description="Connection to the 'Fact (2)' query in the workbook." type="5" refreshedVersion="8" background="1" saveData="1">
    <dbPr connection="Provider=Microsoft.Mashup.OleDb.1;Data Source=$Workbook$;Location=&quot;Fact (2)&quot;;Extended Properties=&quot;&quot;" command="SELECT * FROM [Fact (2)]"/>
  </connection>
  <connection id="4" xr16:uid="{CBCF4CF3-06F8-4A27-B3EC-0A4CD75745B4}" keepAlive="1" name="Query - Oppurtunity" description="Connection to the 'Oppurtunity' query in the workbook." type="5" refreshedVersion="8" background="1" saveData="1">
    <dbPr connection="Provider=Microsoft.Mashup.OleDb.1;Data Source=$Workbook$;Location=Oppurtunity;Extended Properties=&quot;&quot;" command="SELECT * FROM [Oppurtunity]"/>
  </connection>
  <connection id="5" xr16:uid="{E2380CBF-776A-4A37-AE2F-93C4F54A8684}" keepAlive="1" name="Query - Partner" description="Connection to the 'Partner' query in the workbook." type="5" refreshedVersion="8" background="1" saveData="1">
    <dbPr connection="Provider=Microsoft.Mashup.OleDb.1;Data Source=$Workbook$;Location=Partner;Extended Properties=&quot;&quot;" command="SELECT * FROM [Partner]"/>
  </connection>
  <connection id="6" xr16:uid="{2D8F94A8-240D-498C-A6A2-CF2913B3BBC4}" keepAlive="1" name="Query - Product" description="Connection to the 'Product' query in the workbook." type="5" refreshedVersion="8" background="1" saveData="1">
    <dbPr connection="Provider=Microsoft.Mashup.OleDb.1;Data Source=$Workbook$;Location=Product;Extended Properties=&quot;&quot;" command="SELECT * FROM [Product]"/>
  </connection>
  <connection id="7" xr16:uid="{90B41875-D4D0-4965-AF30-81C3B72EF418}" keepAlive="1" name="Query - salestage" description="Connection to the 'salestage' query in the workbook." type="5" refreshedVersion="8" background="1" saveData="1">
    <dbPr connection="Provider=Microsoft.Mashup.OleDb.1;Data Source=$Workbook$;Location=salestage;Extended Properties=&quot;&quot;" command="SELECT * FROM [salestage]"/>
  </connection>
</connections>
</file>

<file path=xl/sharedStrings.xml><?xml version="1.0" encoding="utf-8"?>
<sst xmlns="http://schemas.openxmlformats.org/spreadsheetml/2006/main" count="6548" uniqueCount="1060">
  <si>
    <t>Account ID</t>
  </si>
  <si>
    <t>Region</t>
  </si>
  <si>
    <t>Toughjob</t>
  </si>
  <si>
    <t>Central</t>
  </si>
  <si>
    <t>Strategic</t>
  </si>
  <si>
    <t>Mediaplus</t>
  </si>
  <si>
    <t>Small &amp; Medium</t>
  </si>
  <si>
    <t>Danmedia</t>
  </si>
  <si>
    <t>West</t>
  </si>
  <si>
    <t>Large</t>
  </si>
  <si>
    <t>U-tonlam</t>
  </si>
  <si>
    <t>sancare</t>
  </si>
  <si>
    <t>Damkix</t>
  </si>
  <si>
    <t>East</t>
  </si>
  <si>
    <t>Zathlex</t>
  </si>
  <si>
    <t>Silzoom</t>
  </si>
  <si>
    <t>Goldenkix</t>
  </si>
  <si>
    <t>Basetexon</t>
  </si>
  <si>
    <t>zumplus</t>
  </si>
  <si>
    <t>Zummadom</t>
  </si>
  <si>
    <t>Tampdexon</t>
  </si>
  <si>
    <t>Lanetrans</t>
  </si>
  <si>
    <t>Icecore</t>
  </si>
  <si>
    <t>zamholdings</t>
  </si>
  <si>
    <t>Stanfase</t>
  </si>
  <si>
    <t>unifase</t>
  </si>
  <si>
    <t>Yearhow</t>
  </si>
  <si>
    <t>Soltex</t>
  </si>
  <si>
    <t>Trusthigh</t>
  </si>
  <si>
    <t>Lamdexon</t>
  </si>
  <si>
    <t>Key-texon</t>
  </si>
  <si>
    <t>zonfase</t>
  </si>
  <si>
    <t>Redsollane</t>
  </si>
  <si>
    <t>Zummaline</t>
  </si>
  <si>
    <t>Canehouse</t>
  </si>
  <si>
    <t>stripcorporation</t>
  </si>
  <si>
    <t>vila-tech</t>
  </si>
  <si>
    <t>Zummaphase</t>
  </si>
  <si>
    <t>Zoogreen</t>
  </si>
  <si>
    <t>Citycity</t>
  </si>
  <si>
    <t>Zaptechno</t>
  </si>
  <si>
    <t>tempzoom</t>
  </si>
  <si>
    <t>Randrill</t>
  </si>
  <si>
    <t>Quozim</t>
  </si>
  <si>
    <t>Scotzuntex</t>
  </si>
  <si>
    <t>X-can</t>
  </si>
  <si>
    <t>ronron</t>
  </si>
  <si>
    <t>stimkix</t>
  </si>
  <si>
    <t>singlelane</t>
  </si>
  <si>
    <t>Betaity</t>
  </si>
  <si>
    <t>Daltnamdax</t>
  </si>
  <si>
    <t>Zimdex</t>
  </si>
  <si>
    <t>Lexihigh</t>
  </si>
  <si>
    <t>Transphase</t>
  </si>
  <si>
    <t>Sanfan</t>
  </si>
  <si>
    <t>Triocore</t>
  </si>
  <si>
    <t>EstimatedCloseDate</t>
  </si>
  <si>
    <t>Opportunity ID</t>
  </si>
  <si>
    <t>Sales Stage ID</t>
  </si>
  <si>
    <t>Partner ID</t>
  </si>
  <si>
    <t>Product ID</t>
  </si>
  <si>
    <t>ProductRevenue</t>
  </si>
  <si>
    <t>FactoredProductRevenue</t>
  </si>
  <si>
    <t>Create Date</t>
  </si>
  <si>
    <t>Opportunity Days</t>
  </si>
  <si>
    <t>Year</t>
  </si>
  <si>
    <t>Month_Number</t>
  </si>
  <si>
    <t>Month</t>
  </si>
  <si>
    <t>May</t>
  </si>
  <si>
    <t>Jul</t>
  </si>
  <si>
    <t>Jun</t>
  </si>
  <si>
    <t>Acegreen</t>
  </si>
  <si>
    <t>Yes</t>
  </si>
  <si>
    <t>Bamgreen</t>
  </si>
  <si>
    <t>bamtone</t>
  </si>
  <si>
    <t>Bigcore</t>
  </si>
  <si>
    <t>biglax</t>
  </si>
  <si>
    <t>biotom</t>
  </si>
  <si>
    <t>Canezap</t>
  </si>
  <si>
    <t>Daltdexon</t>
  </si>
  <si>
    <t>Dalttouch</t>
  </si>
  <si>
    <t>Damlane</t>
  </si>
  <si>
    <t>Dantech</t>
  </si>
  <si>
    <t>Dentojob</t>
  </si>
  <si>
    <t>Direct</t>
  </si>
  <si>
    <t>No</t>
  </si>
  <si>
    <t>Donuniace</t>
  </si>
  <si>
    <t>Doublestreet</t>
  </si>
  <si>
    <t>Drillelectronics</t>
  </si>
  <si>
    <t>Dripstrip</t>
  </si>
  <si>
    <t>Duo-tech</t>
  </si>
  <si>
    <t>Duotechi</t>
  </si>
  <si>
    <t>fasetone</t>
  </si>
  <si>
    <t>Fincom</t>
  </si>
  <si>
    <t>Fixplus</t>
  </si>
  <si>
    <t>Flexlax</t>
  </si>
  <si>
    <t>Flexzim</t>
  </si>
  <si>
    <t>Free-electronics</t>
  </si>
  <si>
    <t>Funcane</t>
  </si>
  <si>
    <t>Ganjacore</t>
  </si>
  <si>
    <t>Goldenstreet</t>
  </si>
  <si>
    <t>gravedrill</t>
  </si>
  <si>
    <t>Hayit</t>
  </si>
  <si>
    <t>Hotaphex</t>
  </si>
  <si>
    <t>Hotlam</t>
  </si>
  <si>
    <t>Hotlane</t>
  </si>
  <si>
    <t>Hottouch</t>
  </si>
  <si>
    <t>Ice-find</t>
  </si>
  <si>
    <t>ice-lex</t>
  </si>
  <si>
    <t>Indiity</t>
  </si>
  <si>
    <t>Indikaylax</t>
  </si>
  <si>
    <t>Intechi</t>
  </si>
  <si>
    <t>Is-technology</t>
  </si>
  <si>
    <t>Jaytam</t>
  </si>
  <si>
    <t>Jobice</t>
  </si>
  <si>
    <t>Joblamcon</t>
  </si>
  <si>
    <t>kan-dom</t>
  </si>
  <si>
    <t>Kanlam</t>
  </si>
  <si>
    <t>Konkdom</t>
  </si>
  <si>
    <t>Konktom</t>
  </si>
  <si>
    <t>Konzozdax</t>
  </si>
  <si>
    <t>Lamtafan</t>
  </si>
  <si>
    <t>lanequote</t>
  </si>
  <si>
    <t>Mathredex</t>
  </si>
  <si>
    <t>Medfax</t>
  </si>
  <si>
    <t>mediaphase</t>
  </si>
  <si>
    <t>movedex</t>
  </si>
  <si>
    <t>Movestreet</t>
  </si>
  <si>
    <t>Nimdax</t>
  </si>
  <si>
    <t>Operon</t>
  </si>
  <si>
    <t>Overhigh</t>
  </si>
  <si>
    <t>Planethouse</t>
  </si>
  <si>
    <t>plexdax</t>
  </si>
  <si>
    <t>plex-holdings</t>
  </si>
  <si>
    <t>Plexsolfix</t>
  </si>
  <si>
    <t>Plextom</t>
  </si>
  <si>
    <t>Quadsoloace</t>
  </si>
  <si>
    <t>Opportunity #1</t>
  </si>
  <si>
    <t>Small</t>
  </si>
  <si>
    <t>Opportunity #10</t>
  </si>
  <si>
    <t>Opportunity #100</t>
  </si>
  <si>
    <t>Opportunity #101</t>
  </si>
  <si>
    <t>Opportunity #102</t>
  </si>
  <si>
    <t>Medium</t>
  </si>
  <si>
    <t>Opportunity #103</t>
  </si>
  <si>
    <t>Opportunity #104</t>
  </si>
  <si>
    <t>Opportunity #105</t>
  </si>
  <si>
    <t>Opportunity #106</t>
  </si>
  <si>
    <t>Opportunity #107</t>
  </si>
  <si>
    <t>Opportunity #108</t>
  </si>
  <si>
    <t>Opportunity #109</t>
  </si>
  <si>
    <t>Opportunity #11</t>
  </si>
  <si>
    <t>Opportunity #110</t>
  </si>
  <si>
    <t>Opportunity #111</t>
  </si>
  <si>
    <t>Opportunity #112</t>
  </si>
  <si>
    <t>Opportunity #113</t>
  </si>
  <si>
    <t>Opportunity #114</t>
  </si>
  <si>
    <t>Opportunity #115</t>
  </si>
  <si>
    <t>Opportunity #116</t>
  </si>
  <si>
    <t>Opportunity #117</t>
  </si>
  <si>
    <t>Opportunity #118</t>
  </si>
  <si>
    <t>Opportunity #119</t>
  </si>
  <si>
    <t>Opportunity #12</t>
  </si>
  <si>
    <t>Opportunity #120</t>
  </si>
  <si>
    <t>Opportunity #121</t>
  </si>
  <si>
    <t>Opportunity #122</t>
  </si>
  <si>
    <t>Opportunity #123</t>
  </si>
  <si>
    <t>Opportunity #124</t>
  </si>
  <si>
    <t>Opportunity #125</t>
  </si>
  <si>
    <t>Opportunity #126</t>
  </si>
  <si>
    <t>Abbas</t>
  </si>
  <si>
    <t>Basium</t>
  </si>
  <si>
    <t>Campana</t>
  </si>
  <si>
    <t>Decimus</t>
  </si>
  <si>
    <t>Eligo</t>
  </si>
  <si>
    <t>Fatum</t>
  </si>
  <si>
    <t>Gratus</t>
  </si>
  <si>
    <t>Habitus</t>
  </si>
  <si>
    <t>Ignis</t>
  </si>
  <si>
    <t>Juvenis</t>
  </si>
  <si>
    <t>Lacuna</t>
  </si>
  <si>
    <t>Magis</t>
  </si>
  <si>
    <t>Nimis</t>
  </si>
  <si>
    <t>Omins</t>
  </si>
  <si>
    <t>Paratus</t>
  </si>
  <si>
    <t>Quanti</t>
  </si>
  <si>
    <t>Recolo</t>
  </si>
  <si>
    <t>Sato</t>
  </si>
  <si>
    <t>Talus</t>
  </si>
  <si>
    <t>Umbra</t>
  </si>
  <si>
    <t>Vero</t>
  </si>
  <si>
    <t>Aqua</t>
  </si>
  <si>
    <t>Bellus</t>
  </si>
  <si>
    <t>Carmen</t>
  </si>
  <si>
    <t>Maximus</t>
  </si>
  <si>
    <t>Lead</t>
  </si>
  <si>
    <t>Qualify</t>
  </si>
  <si>
    <t>Solution</t>
  </si>
  <si>
    <t>Proposal</t>
  </si>
  <si>
    <t>Finalize</t>
  </si>
  <si>
    <t>Donjob</t>
  </si>
  <si>
    <t>Zathcode</t>
  </si>
  <si>
    <t>Meddrill</t>
  </si>
  <si>
    <t>Statcom</t>
  </si>
  <si>
    <t>Acetex</t>
  </si>
  <si>
    <t>techiplex</t>
  </si>
  <si>
    <t>Zim-holding</t>
  </si>
  <si>
    <t>Lavollab</t>
  </si>
  <si>
    <t>Techihow</t>
  </si>
  <si>
    <t>Tripplestrip</t>
  </si>
  <si>
    <t>Zumhigh</t>
  </si>
  <si>
    <t>Quotelax</t>
  </si>
  <si>
    <t>an-how</t>
  </si>
  <si>
    <t>Voyarondax</t>
  </si>
  <si>
    <t>sailis</t>
  </si>
  <si>
    <t>Trusthex</t>
  </si>
  <si>
    <t>newfax</t>
  </si>
  <si>
    <t>trankix</t>
  </si>
  <si>
    <t>Salttouch</t>
  </si>
  <si>
    <t>O-cone</t>
  </si>
  <si>
    <t>Goodplex</t>
  </si>
  <si>
    <t>Keystreet</t>
  </si>
  <si>
    <t>Linesilbam</t>
  </si>
  <si>
    <t>Itzozstrip</t>
  </si>
  <si>
    <t>Latis</t>
  </si>
  <si>
    <t>Technogreen</t>
  </si>
  <si>
    <t>Singlecan</t>
  </si>
  <si>
    <t>Conenix</t>
  </si>
  <si>
    <t>quotefix</t>
  </si>
  <si>
    <t>Voltamcore</t>
  </si>
  <si>
    <t>Zimtexon</t>
  </si>
  <si>
    <t>Rounddexon</t>
  </si>
  <si>
    <t>Runcore</t>
  </si>
  <si>
    <t>Lexiunofax</t>
  </si>
  <si>
    <t>Itgreen</t>
  </si>
  <si>
    <t>Goldentam</t>
  </si>
  <si>
    <t>Strongtech</t>
  </si>
  <si>
    <t>Tranhex</t>
  </si>
  <si>
    <t>U-zamedia</t>
  </si>
  <si>
    <t>Vivaway</t>
  </si>
  <si>
    <t>Plexkaying</t>
  </si>
  <si>
    <t>Solostrip</t>
  </si>
  <si>
    <t>Ventotom</t>
  </si>
  <si>
    <t>Redzim</t>
  </si>
  <si>
    <t>Inkix</t>
  </si>
  <si>
    <t>Unohothex</t>
  </si>
  <si>
    <t>Sandubjob</t>
  </si>
  <si>
    <t>Linelab</t>
  </si>
  <si>
    <t>Cityvivahow</t>
  </si>
  <si>
    <t>Anjob</t>
  </si>
  <si>
    <t>freefix</t>
  </si>
  <si>
    <t>Tanflex</t>
  </si>
  <si>
    <t>Goldnimlax</t>
  </si>
  <si>
    <t>Ittechi</t>
  </si>
  <si>
    <t>Icetech</t>
  </si>
  <si>
    <t>Lamelectrics</t>
  </si>
  <si>
    <t>Sumcity</t>
  </si>
  <si>
    <t>Voyavivadax</t>
  </si>
  <si>
    <t>Zaamtech</t>
  </si>
  <si>
    <t>Can-lab</t>
  </si>
  <si>
    <t>Canmedia</t>
  </si>
  <si>
    <t>sanstrip</t>
  </si>
  <si>
    <t>Tampfan</t>
  </si>
  <si>
    <t>tintechno</t>
  </si>
  <si>
    <t>Zontam</t>
  </si>
  <si>
    <t>Groovetex</t>
  </si>
  <si>
    <t>Saolamfind</t>
  </si>
  <si>
    <t>Dongtech</t>
  </si>
  <si>
    <t>Vivacare</t>
  </si>
  <si>
    <t>Standrill</t>
  </si>
  <si>
    <t>Inlane</t>
  </si>
  <si>
    <t>Blackjob</t>
  </si>
  <si>
    <t>newtex</t>
  </si>
  <si>
    <t>Saltholdings</t>
  </si>
  <si>
    <t>Sanquozim</t>
  </si>
  <si>
    <t>Matphase</t>
  </si>
  <si>
    <t>Silvertrans</t>
  </si>
  <si>
    <t>Scotdrill</t>
  </si>
  <si>
    <t>Vol-find</t>
  </si>
  <si>
    <t>Zotlamflex</t>
  </si>
  <si>
    <t>Zerelectronics</t>
  </si>
  <si>
    <t>Zermedia</t>
  </si>
  <si>
    <t>Zoomla</t>
  </si>
  <si>
    <t>Newphase</t>
  </si>
  <si>
    <t>Sailelectrics</t>
  </si>
  <si>
    <t>Ranktouch</t>
  </si>
  <si>
    <t>zimstreet</t>
  </si>
  <si>
    <t>Ontohouse</t>
  </si>
  <si>
    <t>Rankcom</t>
  </si>
  <si>
    <t>Opecore</t>
  </si>
  <si>
    <t>Jaycorporation</t>
  </si>
  <si>
    <t>techistreet</t>
  </si>
  <si>
    <t>Spanlax</t>
  </si>
  <si>
    <t>Citying</t>
  </si>
  <si>
    <t>Dongfind</t>
  </si>
  <si>
    <t>Indigoice</t>
  </si>
  <si>
    <t>Zamsanfind</t>
  </si>
  <si>
    <t>Runzim</t>
  </si>
  <si>
    <t>Finviacore</t>
  </si>
  <si>
    <t>Truetanin</t>
  </si>
  <si>
    <t>Triosollex</t>
  </si>
  <si>
    <t>sailtouch</t>
  </si>
  <si>
    <t>Trancone</t>
  </si>
  <si>
    <t>Y-kaycode</t>
  </si>
  <si>
    <t>Labtrans</t>
  </si>
  <si>
    <t>Waretrans</t>
  </si>
  <si>
    <t>Qvotech</t>
  </si>
  <si>
    <t>Tonelectronics</t>
  </si>
  <si>
    <t>Fasecity</t>
  </si>
  <si>
    <t>Truehouse</t>
  </si>
  <si>
    <t>Quoline</t>
  </si>
  <si>
    <t>O-zoom</t>
  </si>
  <si>
    <t>Qvodex</t>
  </si>
  <si>
    <t>Gravecone</t>
  </si>
  <si>
    <t>Mediatechnology</t>
  </si>
  <si>
    <t>Matstreet</t>
  </si>
  <si>
    <t>Waresundox</t>
  </si>
  <si>
    <t>Truetrax</t>
  </si>
  <si>
    <t>solozim</t>
  </si>
  <si>
    <t>overquote</t>
  </si>
  <si>
    <t>Opencare</t>
  </si>
  <si>
    <t>Dentocity</t>
  </si>
  <si>
    <t>Movelux</t>
  </si>
  <si>
    <t>Funtax</t>
  </si>
  <si>
    <t>Goldenhigh</t>
  </si>
  <si>
    <t>opefix</t>
  </si>
  <si>
    <t>Stansolin</t>
  </si>
  <si>
    <t>Sancore</t>
  </si>
  <si>
    <t>Solronway</t>
  </si>
  <si>
    <t>kinex</t>
  </si>
  <si>
    <t>Blueredlab</t>
  </si>
  <si>
    <t>finfase</t>
  </si>
  <si>
    <t>Jayin</t>
  </si>
  <si>
    <t>Rankfix</t>
  </si>
  <si>
    <t>Yearing</t>
  </si>
  <si>
    <t>sumcare</t>
  </si>
  <si>
    <t>Greentone</t>
  </si>
  <si>
    <t>Anhouse</t>
  </si>
  <si>
    <t>Technocan</t>
  </si>
  <si>
    <t>Geoity</t>
  </si>
  <si>
    <t>Zoncanline</t>
  </si>
  <si>
    <t>Dontamla</t>
  </si>
  <si>
    <t>Jayhigh</t>
  </si>
  <si>
    <t>Biocane</t>
  </si>
  <si>
    <t>Gold-fase</t>
  </si>
  <si>
    <t>Ventocone</t>
  </si>
  <si>
    <t>Newhouse</t>
  </si>
  <si>
    <t>Physlane</t>
  </si>
  <si>
    <t>Hotunidax</t>
  </si>
  <si>
    <t>Canfan</t>
  </si>
  <si>
    <t>unacorporation</t>
  </si>
  <si>
    <t>Strongzim</t>
  </si>
  <si>
    <t>Bluecorporation</t>
  </si>
  <si>
    <t>Techiway</t>
  </si>
  <si>
    <t>Quotelux</t>
  </si>
  <si>
    <t>acelex</t>
  </si>
  <si>
    <t>Unofind</t>
  </si>
  <si>
    <t>Conzumtex</t>
  </si>
  <si>
    <t>sail-con</t>
  </si>
  <si>
    <t>goodzoom</t>
  </si>
  <si>
    <t>Trustline</t>
  </si>
  <si>
    <t>Hatzoodom</t>
  </si>
  <si>
    <t>dripdox</t>
  </si>
  <si>
    <t>Fasehotzap</t>
  </si>
  <si>
    <t>Double-holdings</t>
  </si>
  <si>
    <t>Contom</t>
  </si>
  <si>
    <t>Nimtexon</t>
  </si>
  <si>
    <t>Dongdox</t>
  </si>
  <si>
    <t>Zonfind</t>
  </si>
  <si>
    <t>Daltla</t>
  </si>
  <si>
    <t>Labcom</t>
  </si>
  <si>
    <t>E-tax</t>
  </si>
  <si>
    <t>doubletam</t>
  </si>
  <si>
    <t>Treecare</t>
  </si>
  <si>
    <t>Kay-drill</t>
  </si>
  <si>
    <t>Reddex</t>
  </si>
  <si>
    <t>Zuncore</t>
  </si>
  <si>
    <t>can-house</t>
  </si>
  <si>
    <t>kaycorporation</t>
  </si>
  <si>
    <t>Yearzoomhow</t>
  </si>
  <si>
    <t>fixzim</t>
  </si>
  <si>
    <t>Haytechi</t>
  </si>
  <si>
    <t>Planetcom</t>
  </si>
  <si>
    <t>Baseis</t>
  </si>
  <si>
    <t>e-can</t>
  </si>
  <si>
    <t>Blackplex</t>
  </si>
  <si>
    <t>Codebam</t>
  </si>
  <si>
    <t>yearhouse</t>
  </si>
  <si>
    <t>Linedom</t>
  </si>
  <si>
    <t>Ware-core</t>
  </si>
  <si>
    <t>statzim</t>
  </si>
  <si>
    <t>Hayzunity</t>
  </si>
  <si>
    <t>dongnix</t>
  </si>
  <si>
    <t>Laquadice</t>
  </si>
  <si>
    <t>Treegreen</t>
  </si>
  <si>
    <t>Bamlane</t>
  </si>
  <si>
    <t>konfax</t>
  </si>
  <si>
    <t>Ozersolcon</t>
  </si>
  <si>
    <t>Xxx-ice</t>
  </si>
  <si>
    <t>Green-taxon</t>
  </si>
  <si>
    <t>Isvialax</t>
  </si>
  <si>
    <t>Zimnix</t>
  </si>
  <si>
    <t>Groovetom</t>
  </si>
  <si>
    <t>Stancorporation</t>
  </si>
  <si>
    <t>Quadfax</t>
  </si>
  <si>
    <t>Kanqvola</t>
  </si>
  <si>
    <t>Howtom</t>
  </si>
  <si>
    <t>Dong-nix</t>
  </si>
  <si>
    <t>Zimtrax</t>
  </si>
  <si>
    <t>Doubletechno</t>
  </si>
  <si>
    <t>fase-lab</t>
  </si>
  <si>
    <t>zummaholdings</t>
  </si>
  <si>
    <t>tindox</t>
  </si>
  <si>
    <t>Mattech</t>
  </si>
  <si>
    <t>Sumgreen</t>
  </si>
  <si>
    <t>Sunbam</t>
  </si>
  <si>
    <t>Zontone</t>
  </si>
  <si>
    <t>J-hatfan</t>
  </si>
  <si>
    <t>Saillam</t>
  </si>
  <si>
    <t>Qvokaycom</t>
  </si>
  <si>
    <t>Zumtax</t>
  </si>
  <si>
    <t>Zencode</t>
  </si>
  <si>
    <t>Geoflex</t>
  </si>
  <si>
    <t>Fasestreet</t>
  </si>
  <si>
    <t>Ronbam</t>
  </si>
  <si>
    <t>Keytom</t>
  </si>
  <si>
    <t>Siliconplus</t>
  </si>
  <si>
    <t>Betahex</t>
  </si>
  <si>
    <t>Ganzit</t>
  </si>
  <si>
    <t>Y-dom</t>
  </si>
  <si>
    <t>Goldcone</t>
  </si>
  <si>
    <t>Greencorporation</t>
  </si>
  <si>
    <t>zertech</t>
  </si>
  <si>
    <t>Vaiatax</t>
  </si>
  <si>
    <t>u-bam</t>
  </si>
  <si>
    <t>zertrax</t>
  </si>
  <si>
    <t>Truedom</t>
  </si>
  <si>
    <t>Vivatrax</t>
  </si>
  <si>
    <t>Applanet</t>
  </si>
  <si>
    <t>Silverelectrics</t>
  </si>
  <si>
    <t>Howfan</t>
  </si>
  <si>
    <t>Tansuntom</t>
  </si>
  <si>
    <t>Graveron</t>
  </si>
  <si>
    <t>Bamron</t>
  </si>
  <si>
    <t>White-tax</t>
  </si>
  <si>
    <t>Newcore</t>
  </si>
  <si>
    <t>Solotouch</t>
  </si>
  <si>
    <t>Zapholding</t>
  </si>
  <si>
    <t>Tamsonace</t>
  </si>
  <si>
    <t>Zamtrans</t>
  </si>
  <si>
    <t>Latcorporation</t>
  </si>
  <si>
    <t>Damfase</t>
  </si>
  <si>
    <t>Trustplex</t>
  </si>
  <si>
    <t>Zaamtex</t>
  </si>
  <si>
    <t>Indifix</t>
  </si>
  <si>
    <t>Fasetax</t>
  </si>
  <si>
    <t>Unizunbam</t>
  </si>
  <si>
    <t>Domquote</t>
  </si>
  <si>
    <t>Whitecon</t>
  </si>
  <si>
    <t>Beta-corporation</t>
  </si>
  <si>
    <t>Codeunajob</t>
  </si>
  <si>
    <t>Duocane</t>
  </si>
  <si>
    <t>Alphadexon</t>
  </si>
  <si>
    <t>Planettone</t>
  </si>
  <si>
    <t>zerplanet</t>
  </si>
  <si>
    <t>Doublecon</t>
  </si>
  <si>
    <t>Zathlux</t>
  </si>
  <si>
    <t>Rankice</t>
  </si>
  <si>
    <t>ventohow</t>
  </si>
  <si>
    <t>Joylux</t>
  </si>
  <si>
    <t>Rancan</t>
  </si>
  <si>
    <t>Geojob</t>
  </si>
  <si>
    <t>plexholding</t>
  </si>
  <si>
    <t>Indicore</t>
  </si>
  <si>
    <t>Fasekeydax</t>
  </si>
  <si>
    <t>Tanhow</t>
  </si>
  <si>
    <t>Hatity</t>
  </si>
  <si>
    <t>K-zoom</t>
  </si>
  <si>
    <t>Volelectrics</t>
  </si>
  <si>
    <t>Donzozing</t>
  </si>
  <si>
    <t>Vivatouch</t>
  </si>
  <si>
    <t>Zathtechi</t>
  </si>
  <si>
    <t>K-line</t>
  </si>
  <si>
    <t>Gogotrax</t>
  </si>
  <si>
    <t>Dentohigh</t>
  </si>
  <si>
    <t>Lotunatrax</t>
  </si>
  <si>
    <t>Quoex</t>
  </si>
  <si>
    <t>Canzoomtone</t>
  </si>
  <si>
    <t>Stripgreen</t>
  </si>
  <si>
    <t>Basehatbam</t>
  </si>
  <si>
    <t>Subtouch</t>
  </si>
  <si>
    <t>Freshtrans</t>
  </si>
  <si>
    <t>Key-lex</t>
  </si>
  <si>
    <t>Haytakix</t>
  </si>
  <si>
    <t>Iscon</t>
  </si>
  <si>
    <t>Zamtechnology</t>
  </si>
  <si>
    <t>Voyaholdings</t>
  </si>
  <si>
    <t>Drillhouse</t>
  </si>
  <si>
    <t>Transtouch</t>
  </si>
  <si>
    <t>Villafase</t>
  </si>
  <si>
    <t>Canhouse</t>
  </si>
  <si>
    <t>Overware</t>
  </si>
  <si>
    <t>highdom</t>
  </si>
  <si>
    <t>Roncon</t>
  </si>
  <si>
    <t>Canlam</t>
  </si>
  <si>
    <t>Oct</t>
  </si>
  <si>
    <t>Nov</t>
  </si>
  <si>
    <t>Sep</t>
  </si>
  <si>
    <t>Dec</t>
  </si>
  <si>
    <t>Feb</t>
  </si>
  <si>
    <t>Apr</t>
  </si>
  <si>
    <t>Jan</t>
  </si>
  <si>
    <t>Mar</t>
  </si>
  <si>
    <t>Aug</t>
  </si>
  <si>
    <t>Quadtex</t>
  </si>
  <si>
    <t>Quadzoom</t>
  </si>
  <si>
    <t>Quofase</t>
  </si>
  <si>
    <t>Quo-planet</t>
  </si>
  <si>
    <t>quotechi</t>
  </si>
  <si>
    <t>Quotein</t>
  </si>
  <si>
    <t>Rank-com</t>
  </si>
  <si>
    <t>Redplanet</t>
  </si>
  <si>
    <t>Redunilux</t>
  </si>
  <si>
    <t>ronplex</t>
  </si>
  <si>
    <t>Saltstreet</t>
  </si>
  <si>
    <t>Songreen</t>
  </si>
  <si>
    <t>Sontaxon</t>
  </si>
  <si>
    <t>Stanfan</t>
  </si>
  <si>
    <t>Stimsanlux</t>
  </si>
  <si>
    <t>Strongzone</t>
  </si>
  <si>
    <t>sumdrill</t>
  </si>
  <si>
    <t>Suntaxon</t>
  </si>
  <si>
    <t>Tamhow</t>
  </si>
  <si>
    <t>tamptrax</t>
  </si>
  <si>
    <t>Triohow</t>
  </si>
  <si>
    <t>Trioice</t>
  </si>
  <si>
    <t>Tripplenix</t>
  </si>
  <si>
    <t>Unaquoing</t>
  </si>
  <si>
    <t>Vaiadocon</t>
  </si>
  <si>
    <t>Ventolane</t>
  </si>
  <si>
    <t>Vivastreet</t>
  </si>
  <si>
    <t>Xx-trans</t>
  </si>
  <si>
    <t>Y-anplex</t>
  </si>
  <si>
    <t>Yearhouse</t>
  </si>
  <si>
    <t>Zaamphase</t>
  </si>
  <si>
    <t>Zonronzap</t>
  </si>
  <si>
    <t>zonstrip</t>
  </si>
  <si>
    <t>Zoomtone</t>
  </si>
  <si>
    <t>Zotcare</t>
  </si>
  <si>
    <t>Zummedtech</t>
  </si>
  <si>
    <t>Opportunity #127</t>
  </si>
  <si>
    <t>Opportunity #128</t>
  </si>
  <si>
    <t>Opportunity #129</t>
  </si>
  <si>
    <t>Opportunity #13</t>
  </si>
  <si>
    <t>Opportunity #130</t>
  </si>
  <si>
    <t>Opportunity #131</t>
  </si>
  <si>
    <t>Opportunity #132</t>
  </si>
  <si>
    <t>Opportunity #133</t>
  </si>
  <si>
    <t>Opportunity #134</t>
  </si>
  <si>
    <t>Opportunity #135</t>
  </si>
  <si>
    <t>Opportunity #136</t>
  </si>
  <si>
    <t>Opportunity #137</t>
  </si>
  <si>
    <t>Opportunity #138</t>
  </si>
  <si>
    <t>Opportunity #139</t>
  </si>
  <si>
    <t>Opportunity #14</t>
  </si>
  <si>
    <t>Opportunity #140</t>
  </si>
  <si>
    <t>Opportunity #141</t>
  </si>
  <si>
    <t>Opportunity #142</t>
  </si>
  <si>
    <t>Opportunity #143</t>
  </si>
  <si>
    <t>Opportunity #144</t>
  </si>
  <si>
    <t>Opportunity #145</t>
  </si>
  <si>
    <t>Opportunity #146</t>
  </si>
  <si>
    <t>Opportunity #147</t>
  </si>
  <si>
    <t>Opportunity #148</t>
  </si>
  <si>
    <t>Opportunity #149</t>
  </si>
  <si>
    <t>Opportunity #15</t>
  </si>
  <si>
    <t>Opportunity #150</t>
  </si>
  <si>
    <t>Opportunity #151</t>
  </si>
  <si>
    <t>Opportunity #152</t>
  </si>
  <si>
    <t>Opportunity #153</t>
  </si>
  <si>
    <t>Opportunity #154</t>
  </si>
  <si>
    <t>Opportunity #155</t>
  </si>
  <si>
    <t>Opportunity #156</t>
  </si>
  <si>
    <t>Opportunity #157</t>
  </si>
  <si>
    <t>Opportunity #158</t>
  </si>
  <si>
    <t>Opportunity #159</t>
  </si>
  <si>
    <t>Opportunity #16</t>
  </si>
  <si>
    <t>Opportunity #160</t>
  </si>
  <si>
    <t>Opportunity #161</t>
  </si>
  <si>
    <t>Opportunity #162</t>
  </si>
  <si>
    <t>Opportunity #163</t>
  </si>
  <si>
    <t>Opportunity #164</t>
  </si>
  <si>
    <t>Opportunity #165</t>
  </si>
  <si>
    <t>Opportunity #166</t>
  </si>
  <si>
    <t>Opportunity #167</t>
  </si>
  <si>
    <t>Opportunity #168</t>
  </si>
  <si>
    <t>Opportunity #169</t>
  </si>
  <si>
    <t>Opportunity #17</t>
  </si>
  <si>
    <t>Opportunity #170</t>
  </si>
  <si>
    <t>Opportunity #171</t>
  </si>
  <si>
    <t>Opportunity #172</t>
  </si>
  <si>
    <t>Opportunity #173</t>
  </si>
  <si>
    <t>Opportunity #174</t>
  </si>
  <si>
    <t>Opportunity #175</t>
  </si>
  <si>
    <t>Opportunity #176</t>
  </si>
  <si>
    <t>Opportunity #177</t>
  </si>
  <si>
    <t>Opportunity #178</t>
  </si>
  <si>
    <t>Opportunity #179</t>
  </si>
  <si>
    <t>Opportunity #18</t>
  </si>
  <si>
    <t>Opportunity #180</t>
  </si>
  <si>
    <t>Opportunity #181</t>
  </si>
  <si>
    <t>Opportunity #182</t>
  </si>
  <si>
    <t>Opportunity #183</t>
  </si>
  <si>
    <t>Opportunity #184</t>
  </si>
  <si>
    <t>Opportunity #185</t>
  </si>
  <si>
    <t>Opportunity #186</t>
  </si>
  <si>
    <t>Opportunity #187</t>
  </si>
  <si>
    <t>Opportunity #188</t>
  </si>
  <si>
    <t>Opportunity #189</t>
  </si>
  <si>
    <t>Opportunity #19</t>
  </si>
  <si>
    <t>Opportunity #190</t>
  </si>
  <si>
    <t>Opportunity #191</t>
  </si>
  <si>
    <t>Opportunity #192</t>
  </si>
  <si>
    <t>Opportunity #193</t>
  </si>
  <si>
    <t>Opportunity #194</t>
  </si>
  <si>
    <t>Opportunity #195</t>
  </si>
  <si>
    <t>Opportunity #196</t>
  </si>
  <si>
    <t>Opportunity #197</t>
  </si>
  <si>
    <t>Opportunity #198</t>
  </si>
  <si>
    <t>Opportunity #199</t>
  </si>
  <si>
    <t>Opportunity #2</t>
  </si>
  <si>
    <t>Opportunity #20</t>
  </si>
  <si>
    <t>Opportunity #200</t>
  </si>
  <si>
    <t>Opportunity #201</t>
  </si>
  <si>
    <t>Opportunity #202</t>
  </si>
  <si>
    <t>Opportunity #203</t>
  </si>
  <si>
    <t>Opportunity #204</t>
  </si>
  <si>
    <t>Opportunity #205</t>
  </si>
  <si>
    <t>Opportunity #206</t>
  </si>
  <si>
    <t>Opportunity #207</t>
  </si>
  <si>
    <t>Opportunity #208</t>
  </si>
  <si>
    <t>Opportunity #209</t>
  </si>
  <si>
    <t>Opportunity #21</t>
  </si>
  <si>
    <t>Opportunity #210</t>
  </si>
  <si>
    <t>Opportunity #211</t>
  </si>
  <si>
    <t>Opportunity #212</t>
  </si>
  <si>
    <t>Opportunity #213</t>
  </si>
  <si>
    <t>Opportunity #214</t>
  </si>
  <si>
    <t>Opportunity #215</t>
  </si>
  <si>
    <t>Opportunity #216</t>
  </si>
  <si>
    <t>Opportunity #217</t>
  </si>
  <si>
    <t>Opportunity #218</t>
  </si>
  <si>
    <t>Opportunity #219</t>
  </si>
  <si>
    <t>Opportunity #22</t>
  </si>
  <si>
    <t>Opportunity #220</t>
  </si>
  <si>
    <t>Opportunity #221</t>
  </si>
  <si>
    <t>Opportunity #222</t>
  </si>
  <si>
    <t>Opportunity #223</t>
  </si>
  <si>
    <t>Opportunity #224</t>
  </si>
  <si>
    <t>Opportunity #225</t>
  </si>
  <si>
    <t>Opportunity #226</t>
  </si>
  <si>
    <t>Opportunity #227</t>
  </si>
  <si>
    <t>Opportunity #228</t>
  </si>
  <si>
    <t>Opportunity #229</t>
  </si>
  <si>
    <t>Opportunity #23</t>
  </si>
  <si>
    <t>Opportunity #230</t>
  </si>
  <si>
    <t>Opportunity #231</t>
  </si>
  <si>
    <t>Opportunity #232</t>
  </si>
  <si>
    <t>Opportunity #233</t>
  </si>
  <si>
    <t>Opportunity #234</t>
  </si>
  <si>
    <t>Opportunity #235</t>
  </si>
  <si>
    <t>Opportunity #236</t>
  </si>
  <si>
    <t>Opportunity #237</t>
  </si>
  <si>
    <t>Opportunity #238</t>
  </si>
  <si>
    <t>Opportunity #239</t>
  </si>
  <si>
    <t>Opportunity #24</t>
  </si>
  <si>
    <t>Opportunity #240</t>
  </si>
  <si>
    <t>Opportunity #241</t>
  </si>
  <si>
    <t>Opportunity #242</t>
  </si>
  <si>
    <t>Opportunity #243</t>
  </si>
  <si>
    <t>Opportunity #244</t>
  </si>
  <si>
    <t>Opportunity #245</t>
  </si>
  <si>
    <t>Opportunity #246</t>
  </si>
  <si>
    <t>Opportunity #247</t>
  </si>
  <si>
    <t>Opportunity #248</t>
  </si>
  <si>
    <t>Opportunity #249</t>
  </si>
  <si>
    <t>Opportunity #25</t>
  </si>
  <si>
    <t>Opportunity #250</t>
  </si>
  <si>
    <t>Opportunity #251</t>
  </si>
  <si>
    <t>Opportunity #252</t>
  </si>
  <si>
    <t>Opportunity #253</t>
  </si>
  <si>
    <t>Opportunity #254</t>
  </si>
  <si>
    <t>Opportunity #255</t>
  </si>
  <si>
    <t>Opportunity #256</t>
  </si>
  <si>
    <t>Opportunity #257</t>
  </si>
  <si>
    <t>Opportunity #258</t>
  </si>
  <si>
    <t>Opportunity #259</t>
  </si>
  <si>
    <t>Opportunity #26</t>
  </si>
  <si>
    <t>Opportunity #260</t>
  </si>
  <si>
    <t>Opportunity #261</t>
  </si>
  <si>
    <t>Opportunity #262</t>
  </si>
  <si>
    <t>Opportunity #263</t>
  </si>
  <si>
    <t>Opportunity #264</t>
  </si>
  <si>
    <t>Opportunity #265</t>
  </si>
  <si>
    <t>Opportunity #266</t>
  </si>
  <si>
    <t>Opportunity #267</t>
  </si>
  <si>
    <t>Opportunity #268</t>
  </si>
  <si>
    <t>Opportunity #269</t>
  </si>
  <si>
    <t>Opportunity #27</t>
  </si>
  <si>
    <t>Opportunity #270</t>
  </si>
  <si>
    <t>Opportunity #271</t>
  </si>
  <si>
    <t>Opportunity #272</t>
  </si>
  <si>
    <t>Opportunity #273</t>
  </si>
  <si>
    <t>Opportunity #274</t>
  </si>
  <si>
    <t>Opportunity #275</t>
  </si>
  <si>
    <t>Opportunity #276</t>
  </si>
  <si>
    <t>Opportunity #277</t>
  </si>
  <si>
    <t>Opportunity #278</t>
  </si>
  <si>
    <t>Opportunity #279</t>
  </si>
  <si>
    <t>Opportunity #28</t>
  </si>
  <si>
    <t>Opportunity #280</t>
  </si>
  <si>
    <t>Opportunity #281</t>
  </si>
  <si>
    <t>Opportunity #282</t>
  </si>
  <si>
    <t>Opportunity #283</t>
  </si>
  <si>
    <t>Opportunity #284</t>
  </si>
  <si>
    <t>Opportunity #285</t>
  </si>
  <si>
    <t>Opportunity #286</t>
  </si>
  <si>
    <t>Opportunity #287</t>
  </si>
  <si>
    <t>Opportunity #288</t>
  </si>
  <si>
    <t>Opportunity #289</t>
  </si>
  <si>
    <t>Opportunity #29</t>
  </si>
  <si>
    <t>Opportunity #290</t>
  </si>
  <si>
    <t>Opportunity #291</t>
  </si>
  <si>
    <t>Opportunity #292</t>
  </si>
  <si>
    <t>Opportunity #293</t>
  </si>
  <si>
    <t>Opportunity #294</t>
  </si>
  <si>
    <t>Opportunity #295</t>
  </si>
  <si>
    <t>Opportunity #296</t>
  </si>
  <si>
    <t>Opportunity #297</t>
  </si>
  <si>
    <t>Opportunity #298</t>
  </si>
  <si>
    <t>Opportunity #299</t>
  </si>
  <si>
    <t>Opportunity #3</t>
  </si>
  <si>
    <t>Opportunity #30</t>
  </si>
  <si>
    <t>Opportunity #300</t>
  </si>
  <si>
    <t>Opportunity #301</t>
  </si>
  <si>
    <t>Opportunity #302</t>
  </si>
  <si>
    <t>Opportunity #303</t>
  </si>
  <si>
    <t>Opportunity #304</t>
  </si>
  <si>
    <t>Opportunity #305</t>
  </si>
  <si>
    <t>Opportunity #306</t>
  </si>
  <si>
    <t>Opportunity #307</t>
  </si>
  <si>
    <t>Opportunity #308</t>
  </si>
  <si>
    <t>Opportunity #309</t>
  </si>
  <si>
    <t>Opportunity #31</t>
  </si>
  <si>
    <t>Opportunity #310</t>
  </si>
  <si>
    <t>Opportunity #311</t>
  </si>
  <si>
    <t>Opportunity #312</t>
  </si>
  <si>
    <t>Opportunity #313</t>
  </si>
  <si>
    <t>Opportunity #314</t>
  </si>
  <si>
    <t>Opportunity #315</t>
  </si>
  <si>
    <t>Opportunity #316</t>
  </si>
  <si>
    <t>Opportunity #317</t>
  </si>
  <si>
    <t>Opportunity #318</t>
  </si>
  <si>
    <t>Opportunity #319</t>
  </si>
  <si>
    <t>Opportunity #32</t>
  </si>
  <si>
    <t>Opportunity #320</t>
  </si>
  <si>
    <t>Opportunity #321</t>
  </si>
  <si>
    <t>Opportunity #322</t>
  </si>
  <si>
    <t>Opportunity #323</t>
  </si>
  <si>
    <t>Opportunity #324</t>
  </si>
  <si>
    <t>Opportunity #325</t>
  </si>
  <si>
    <t>Opportunity #326</t>
  </si>
  <si>
    <t>Opportunity #327</t>
  </si>
  <si>
    <t>Opportunity #328</t>
  </si>
  <si>
    <t>Opportunity #329</t>
  </si>
  <si>
    <t>Opportunity #33</t>
  </si>
  <si>
    <t>Opportunity #330</t>
  </si>
  <si>
    <t>Opportunity #331</t>
  </si>
  <si>
    <t>Opportunity #332</t>
  </si>
  <si>
    <t>Opportunity #333</t>
  </si>
  <si>
    <t>Opportunity #334</t>
  </si>
  <si>
    <t>Opportunity #335</t>
  </si>
  <si>
    <t>Opportunity #336</t>
  </si>
  <si>
    <t>Opportunity #337</t>
  </si>
  <si>
    <t>Opportunity #338</t>
  </si>
  <si>
    <t>Opportunity #339</t>
  </si>
  <si>
    <t>Opportunity #34</t>
  </si>
  <si>
    <t>Opportunity #340</t>
  </si>
  <si>
    <t>Opportunity #341</t>
  </si>
  <si>
    <t>Opportunity #342</t>
  </si>
  <si>
    <t>Opportunity #343</t>
  </si>
  <si>
    <t>Opportunity #344</t>
  </si>
  <si>
    <t>Opportunity #345</t>
  </si>
  <si>
    <t>Opportunity #346</t>
  </si>
  <si>
    <t>Opportunity #347</t>
  </si>
  <si>
    <t>Opportunity #348</t>
  </si>
  <si>
    <t>Opportunity #349</t>
  </si>
  <si>
    <t>Opportunity #35</t>
  </si>
  <si>
    <t>Opportunity #350</t>
  </si>
  <si>
    <t>Opportunity #351</t>
  </si>
  <si>
    <t>Opportunity #352</t>
  </si>
  <si>
    <t>Opportunity #353</t>
  </si>
  <si>
    <t>Opportunity #354</t>
  </si>
  <si>
    <t>Opportunity #355</t>
  </si>
  <si>
    <t>Opportunity #356</t>
  </si>
  <si>
    <t>Opportunity #357</t>
  </si>
  <si>
    <t>Opportunity #358</t>
  </si>
  <si>
    <t>Opportunity #359</t>
  </si>
  <si>
    <t>Opportunity #36</t>
  </si>
  <si>
    <t>Opportunity #360</t>
  </si>
  <si>
    <t>Opportunity #361</t>
  </si>
  <si>
    <t>Opportunity #362</t>
  </si>
  <si>
    <t>Opportunity #363</t>
  </si>
  <si>
    <t>Opportunity #364</t>
  </si>
  <si>
    <t>Opportunity #365</t>
  </si>
  <si>
    <t>Opportunity #366</t>
  </si>
  <si>
    <t>Opportunity #367</t>
  </si>
  <si>
    <t>Opportunity #368</t>
  </si>
  <si>
    <t>Opportunity #369</t>
  </si>
  <si>
    <t>Opportunity #37</t>
  </si>
  <si>
    <t>Opportunity #370</t>
  </si>
  <si>
    <t>Opportunity #371</t>
  </si>
  <si>
    <t>Opportunity #372</t>
  </si>
  <si>
    <t>Opportunity #373</t>
  </si>
  <si>
    <t>Opportunity #374</t>
  </si>
  <si>
    <t>Opportunity #375</t>
  </si>
  <si>
    <t>Opportunity #376</t>
  </si>
  <si>
    <t>Opportunity #377</t>
  </si>
  <si>
    <t>Opportunity #378</t>
  </si>
  <si>
    <t>Opportunity #379</t>
  </si>
  <si>
    <t>Opportunity #38</t>
  </si>
  <si>
    <t>Opportunity #380</t>
  </si>
  <si>
    <t>Opportunity #381</t>
  </si>
  <si>
    <t>Opportunity #382</t>
  </si>
  <si>
    <t>Opportunity #383</t>
  </si>
  <si>
    <t>Opportunity #384</t>
  </si>
  <si>
    <t>Opportunity #385</t>
  </si>
  <si>
    <t>Opportunity #386</t>
  </si>
  <si>
    <t>Opportunity #387</t>
  </si>
  <si>
    <t>Opportunity #388</t>
  </si>
  <si>
    <t>Opportunity #389</t>
  </si>
  <si>
    <t>Opportunity #39</t>
  </si>
  <si>
    <t>Opportunity #390</t>
  </si>
  <si>
    <t>Opportunity #391</t>
  </si>
  <si>
    <t>Opportunity #392</t>
  </si>
  <si>
    <t>Opportunity #393</t>
  </si>
  <si>
    <t>Opportunity #394</t>
  </si>
  <si>
    <t>Opportunity #395</t>
  </si>
  <si>
    <t>Opportunity #396</t>
  </si>
  <si>
    <t>Opportunity #397</t>
  </si>
  <si>
    <t>Opportunity #398</t>
  </si>
  <si>
    <t>Opportunity #399</t>
  </si>
  <si>
    <t>Opportunity #4</t>
  </si>
  <si>
    <t>Opportunity #40</t>
  </si>
  <si>
    <t>Opportunity #400</t>
  </si>
  <si>
    <t>Opportunity #401</t>
  </si>
  <si>
    <t>Opportunity #402</t>
  </si>
  <si>
    <t>Opportunity #403</t>
  </si>
  <si>
    <t>Opportunity #404</t>
  </si>
  <si>
    <t>Opportunity #405</t>
  </si>
  <si>
    <t>Opportunity #406</t>
  </si>
  <si>
    <t>Opportunity #407</t>
  </si>
  <si>
    <t>Opportunity #408</t>
  </si>
  <si>
    <t>Opportunity #409</t>
  </si>
  <si>
    <t>Opportunity #41</t>
  </si>
  <si>
    <t>Opportunity #410</t>
  </si>
  <si>
    <t>Opportunity #411</t>
  </si>
  <si>
    <t>Opportunity #412</t>
  </si>
  <si>
    <t>Opportunity #413</t>
  </si>
  <si>
    <t>Opportunity #414</t>
  </si>
  <si>
    <t>Opportunity #415</t>
  </si>
  <si>
    <t>Opportunity #416</t>
  </si>
  <si>
    <t>Opportunity #417</t>
  </si>
  <si>
    <t>Opportunity #418</t>
  </si>
  <si>
    <t>Opportunity #419</t>
  </si>
  <si>
    <t>Opportunity #42</t>
  </si>
  <si>
    <t>Opportunity #420</t>
  </si>
  <si>
    <t>Opportunity #421</t>
  </si>
  <si>
    <t>Opportunity #422</t>
  </si>
  <si>
    <t>Opportunity #423</t>
  </si>
  <si>
    <t>Opportunity #424</t>
  </si>
  <si>
    <t>Opportunity #425</t>
  </si>
  <si>
    <t>Opportunity #426</t>
  </si>
  <si>
    <t>Opportunity #427</t>
  </si>
  <si>
    <t>Opportunity #428</t>
  </si>
  <si>
    <t>Opportunity #429</t>
  </si>
  <si>
    <t>Opportunity #43</t>
  </si>
  <si>
    <t>Opportunity #430</t>
  </si>
  <si>
    <t>Opportunity #431</t>
  </si>
  <si>
    <t>Opportunity #432</t>
  </si>
  <si>
    <t>Opportunity #433</t>
  </si>
  <si>
    <t>Opportunity #434</t>
  </si>
  <si>
    <t>Opportunity #435</t>
  </si>
  <si>
    <t>Opportunity #436</t>
  </si>
  <si>
    <t>Opportunity #437</t>
  </si>
  <si>
    <t>Opportunity #438</t>
  </si>
  <si>
    <t>Opportunity #439</t>
  </si>
  <si>
    <t>Opportunity #44</t>
  </si>
  <si>
    <t>Opportunity #440</t>
  </si>
  <si>
    <t>Opportunity #441</t>
  </si>
  <si>
    <t>Opportunity #442</t>
  </si>
  <si>
    <t>Opportunity #443</t>
  </si>
  <si>
    <t>Opportunity #444</t>
  </si>
  <si>
    <t>Opportunity #445</t>
  </si>
  <si>
    <t>Opportunity #446</t>
  </si>
  <si>
    <t>Opportunity #447</t>
  </si>
  <si>
    <t>Opportunity #448</t>
  </si>
  <si>
    <t>Opportunity #449</t>
  </si>
  <si>
    <t>Opportunity #45</t>
  </si>
  <si>
    <t>Opportunity #450</t>
  </si>
  <si>
    <t>Opportunity #451</t>
  </si>
  <si>
    <t>Opportunity #452</t>
  </si>
  <si>
    <t>Opportunity #453</t>
  </si>
  <si>
    <t>Opportunity #454</t>
  </si>
  <si>
    <t>Opportunity #455</t>
  </si>
  <si>
    <t>Opportunity #456</t>
  </si>
  <si>
    <t>Opportunity #457</t>
  </si>
  <si>
    <t>Opportunity #458</t>
  </si>
  <si>
    <t>Opportunity #459</t>
  </si>
  <si>
    <t>Opportunity #46</t>
  </si>
  <si>
    <t>Opportunity #460</t>
  </si>
  <si>
    <t>Opportunity #461</t>
  </si>
  <si>
    <t>Opportunity #462</t>
  </si>
  <si>
    <t>Opportunity #463</t>
  </si>
  <si>
    <t>Opportunity #464</t>
  </si>
  <si>
    <t>Opportunity #465</t>
  </si>
  <si>
    <t>Opportunity #466</t>
  </si>
  <si>
    <t>Opportunity #467</t>
  </si>
  <si>
    <t>Opportunity #468</t>
  </si>
  <si>
    <t>Opportunity #469</t>
  </si>
  <si>
    <t>Opportunity #47</t>
  </si>
  <si>
    <t>Opportunity #470</t>
  </si>
  <si>
    <t>Opportunity #471</t>
  </si>
  <si>
    <t>Opportunity #472</t>
  </si>
  <si>
    <t>Opportunity #473</t>
  </si>
  <si>
    <t>Opportunity #474</t>
  </si>
  <si>
    <t>Opportunity #475</t>
  </si>
  <si>
    <t>Opportunity #476</t>
  </si>
  <si>
    <t>Opportunity #477</t>
  </si>
  <si>
    <t>Opportunity #478</t>
  </si>
  <si>
    <t>Opportunity #479</t>
  </si>
  <si>
    <t>Opportunity #48</t>
  </si>
  <si>
    <t>Opportunity #480</t>
  </si>
  <si>
    <t>Opportunity #481</t>
  </si>
  <si>
    <t>Opportunity #482</t>
  </si>
  <si>
    <t>Opportunity #483</t>
  </si>
  <si>
    <t>Opportunity #484</t>
  </si>
  <si>
    <t>Opportunity #485</t>
  </si>
  <si>
    <t>Opportunity #486</t>
  </si>
  <si>
    <t>Opportunity #49</t>
  </si>
  <si>
    <t>Opportunity #5</t>
  </si>
  <si>
    <t>Opportunity #50</t>
  </si>
  <si>
    <t>Opportunity #51</t>
  </si>
  <si>
    <t>Opportunity #52</t>
  </si>
  <si>
    <t>Opportunity #53</t>
  </si>
  <si>
    <t>Opportunity #54</t>
  </si>
  <si>
    <t>Opportunity #55</t>
  </si>
  <si>
    <t>Opportunity #56</t>
  </si>
  <si>
    <t>Opportunity #57</t>
  </si>
  <si>
    <t>Opportunity #58</t>
  </si>
  <si>
    <t>Opportunity #59</t>
  </si>
  <si>
    <t>Opportunity #6</t>
  </si>
  <si>
    <t>Opportunity #60</t>
  </si>
  <si>
    <t>Opportunity #61</t>
  </si>
  <si>
    <t>Opportunity #62</t>
  </si>
  <si>
    <t>Opportunity #63</t>
  </si>
  <si>
    <t>Opportunity #64</t>
  </si>
  <si>
    <t>Opportunity #65</t>
  </si>
  <si>
    <t>Opportunity #66</t>
  </si>
  <si>
    <t>Opportunity #67</t>
  </si>
  <si>
    <t>Opportunity #68</t>
  </si>
  <si>
    <t>Opportunity #69</t>
  </si>
  <si>
    <t>Opportunity #7</t>
  </si>
  <si>
    <t>Opportunity #70</t>
  </si>
  <si>
    <t>Opportunity #71</t>
  </si>
  <si>
    <t>Opportunity #72</t>
  </si>
  <si>
    <t>Opportunity #73</t>
  </si>
  <si>
    <t>Opportunity #74</t>
  </si>
  <si>
    <t>Opportunity #75</t>
  </si>
  <si>
    <t>Opportunity #76</t>
  </si>
  <si>
    <t>Opportunity #77</t>
  </si>
  <si>
    <t>Opportunity #78</t>
  </si>
  <si>
    <t>Opportunity #79</t>
  </si>
  <si>
    <t>Opportunity #8</t>
  </si>
  <si>
    <t>Opportunity #80</t>
  </si>
  <si>
    <t>Opportunity #81</t>
  </si>
  <si>
    <t>Opportunity #82</t>
  </si>
  <si>
    <t>Opportunity #83</t>
  </si>
  <si>
    <t>Opportunity #84</t>
  </si>
  <si>
    <t>Opportunity #85</t>
  </si>
  <si>
    <t>Opportunity #86</t>
  </si>
  <si>
    <t>Opportunity #87</t>
  </si>
  <si>
    <t>Opportunity #88</t>
  </si>
  <si>
    <t>Opportunity #89</t>
  </si>
  <si>
    <t>Opportunity #9</t>
  </si>
  <si>
    <t>Opportunity #90</t>
  </si>
  <si>
    <t>Opportunity #91</t>
  </si>
  <si>
    <t>Opportunity #92</t>
  </si>
  <si>
    <t>Opportunity #93</t>
  </si>
  <si>
    <t>Opportunity #94</t>
  </si>
  <si>
    <t>Opportunity #95</t>
  </si>
  <si>
    <t>Opportunity #96</t>
  </si>
  <si>
    <t>Opportunity #97</t>
  </si>
  <si>
    <t>Opportunity #98</t>
  </si>
  <si>
    <t>Opportunity #99</t>
  </si>
  <si>
    <t>Oppurtunity.Name</t>
  </si>
  <si>
    <t>Oppurtunity.Rank</t>
  </si>
  <si>
    <t>Oppurtunity.SizeID</t>
  </si>
  <si>
    <t>Oppurtunity.Opportunity Size</t>
  </si>
  <si>
    <t>Oppurtunity.Region</t>
  </si>
  <si>
    <t>Product.Product Code</t>
  </si>
  <si>
    <t>Partner.Partner</t>
  </si>
  <si>
    <t>Partner.Partner Driven</t>
  </si>
  <si>
    <t>salestage.Probability</t>
  </si>
  <si>
    <t>salestage.Sales Stage</t>
  </si>
  <si>
    <t>Account.Account</t>
  </si>
  <si>
    <t>Account.Region</t>
  </si>
  <si>
    <t>Account.Segment</t>
  </si>
  <si>
    <t>Row Labels</t>
  </si>
  <si>
    <t>Grand Total</t>
  </si>
  <si>
    <t>Sum of ProductRevenue</t>
  </si>
  <si>
    <t>west</t>
  </si>
  <si>
    <t>Column Labels</t>
  </si>
  <si>
    <t>Sum of FactoredProductRevenue</t>
  </si>
  <si>
    <t>Count of Opportunity ID</t>
  </si>
  <si>
    <t>REGONAL ANALYSIS</t>
  </si>
  <si>
    <t>AverageOpportunityRevenue</t>
  </si>
  <si>
    <t>Product Performance</t>
  </si>
  <si>
    <t>Partner Contribution</t>
  </si>
  <si>
    <t>PartnerDrivenOpportunitiesPercentage</t>
  </si>
  <si>
    <t>Sum of PartnerDrivenOpportunitiesPercentage</t>
  </si>
  <si>
    <t>PARTNER</t>
  </si>
  <si>
    <t>Opportunity Size Analysis:</t>
  </si>
  <si>
    <t>Sales Stage Progression</t>
  </si>
  <si>
    <t>s</t>
  </si>
  <si>
    <t>Conversion Rates between Sales Stages</t>
  </si>
  <si>
    <t>Sales stage</t>
  </si>
  <si>
    <t>Average of Opportunity Days</t>
  </si>
  <si>
    <t>Time-Based Analysis</t>
  </si>
  <si>
    <t>Count of Oppurtunity.Opportunity Size</t>
  </si>
  <si>
    <t>Sum of Field1</t>
  </si>
  <si>
    <t>Revenue</t>
  </si>
  <si>
    <t>Count of Opportunity ID2</t>
  </si>
  <si>
    <t>bl</t>
  </si>
  <si>
    <t>Qrt</t>
  </si>
  <si>
    <t>Qrt 1</t>
  </si>
  <si>
    <t>Qrt 2</t>
  </si>
  <si>
    <t>Qrt 3</t>
  </si>
  <si>
    <t>Qrt 4</t>
  </si>
  <si>
    <t>Total</t>
  </si>
  <si>
    <t>%Revenue</t>
  </si>
  <si>
    <t>Transaction</t>
  </si>
  <si>
    <t>Average</t>
  </si>
  <si>
    <t>Product</t>
  </si>
  <si>
    <t>Partner</t>
  </si>
  <si>
    <t>Top</t>
  </si>
  <si>
    <t>all revenue</t>
  </si>
  <si>
    <t>% deff</t>
  </si>
  <si>
    <t>Sales Stage</t>
  </si>
  <si>
    <t>Opportunities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</si>
</sst>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quot;₹&quot;\ * #,##0.00_ ;_ &quot;₹&quot;\ * \-#,##0.00_ ;_ &quot;₹&quot;\ * &quot;-&quot;??_ ;_ @_ "/>
    <numFmt numFmtId="164" formatCode="_-[$$-409]* #,##0_ ;_-[$$-409]* \-#,##0\ ;_-[$$-409]* &quot;-&quot;??_ ;_-@_ "/>
    <numFmt numFmtId="165" formatCode="0.00000000"/>
    <numFmt numFmtId="166" formatCode="_-[$$-409]* #,##0.00_ ;_-[$$-409]* \-#,##0.00\ ;_-[$$-409]* &quot;-&quot;??_ ;_-@_ "/>
    <numFmt numFmtId="167" formatCode="&quot;₹&quot;\ #,##0"/>
    <numFmt numFmtId="168" formatCode="0.0%"/>
  </numFmts>
  <fonts count="11" x14ac:knownFonts="1">
    <font>
      <sz val="11"/>
      <color theme="1"/>
      <name val="Calibri"/>
      <family val="2"/>
      <scheme val="minor"/>
    </font>
    <font>
      <sz val="8"/>
      <name val="Calibri"/>
      <family val="2"/>
      <scheme val="minor"/>
    </font>
    <font>
      <sz val="11"/>
      <color theme="1"/>
      <name val="Calibri"/>
      <family val="2"/>
      <scheme val="minor"/>
    </font>
    <font>
      <sz val="10"/>
      <color theme="1"/>
      <name val="Segoe UI"/>
      <family val="2"/>
    </font>
    <font>
      <b/>
      <sz val="14"/>
      <color theme="1"/>
      <name val="Calibri"/>
      <family val="2"/>
      <scheme val="minor"/>
    </font>
    <font>
      <b/>
      <sz val="16"/>
      <color theme="1"/>
      <name val="Calibri"/>
      <family val="2"/>
      <scheme val="minor"/>
    </font>
    <font>
      <b/>
      <sz val="18"/>
      <color theme="1"/>
      <name val="Calibri"/>
      <family val="2"/>
      <scheme val="minor"/>
    </font>
    <font>
      <b/>
      <sz val="11"/>
      <color theme="1"/>
      <name val="Calibri"/>
      <family val="2"/>
      <scheme val="minor"/>
    </font>
    <font>
      <sz val="11"/>
      <color rgb="FFFF0000"/>
      <name val="Calibri"/>
      <family val="2"/>
      <scheme val="minor"/>
    </font>
    <font>
      <b/>
      <sz val="14"/>
      <color rgb="FFFF0000"/>
      <name val="Calibri"/>
      <family val="2"/>
      <scheme val="minor"/>
    </font>
    <font>
      <sz val="11"/>
      <color rgb="FF000000"/>
      <name val="Calibri"/>
      <family val="2"/>
    </font>
  </fonts>
  <fills count="6">
    <fill>
      <patternFill patternType="none"/>
    </fill>
    <fill>
      <patternFill patternType="gray125"/>
    </fill>
    <fill>
      <patternFill patternType="solid">
        <fgColor rgb="FF002B4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2060"/>
        <bgColor indexed="64"/>
      </patternFill>
    </fill>
  </fills>
  <borders count="1">
    <border>
      <left/>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29">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1" applyNumberFormat="1" applyFont="1"/>
    <xf numFmtId="0" fontId="3" fillId="0" borderId="0" xfId="0" applyFont="1" applyAlignment="1">
      <alignment vertical="center"/>
    </xf>
    <xf numFmtId="165" fontId="0" fillId="0" borderId="0" xfId="0" applyNumberFormat="1"/>
    <xf numFmtId="0" fontId="7" fillId="0" borderId="0" xfId="0" applyFont="1"/>
    <xf numFmtId="0" fontId="6" fillId="0" borderId="0" xfId="0" applyFont="1"/>
    <xf numFmtId="9" fontId="0" fillId="0" borderId="0" xfId="0" applyNumberFormat="1"/>
    <xf numFmtId="0" fontId="0" fillId="2" borderId="0" xfId="0" applyFill="1"/>
    <xf numFmtId="166" fontId="0" fillId="0" borderId="0" xfId="0" applyNumberFormat="1"/>
    <xf numFmtId="167" fontId="0" fillId="0" borderId="0" xfId="0" applyNumberFormat="1"/>
    <xf numFmtId="0" fontId="0" fillId="3" borderId="0" xfId="0" applyFill="1"/>
    <xf numFmtId="10" fontId="0" fillId="0" borderId="0" xfId="0" applyNumberFormat="1"/>
    <xf numFmtId="9" fontId="0" fillId="0" borderId="0" xfId="2" applyFont="1"/>
    <xf numFmtId="0" fontId="0" fillId="0" borderId="0" xfId="2" applyNumberFormat="1" applyFont="1"/>
    <xf numFmtId="0" fontId="4" fillId="0" borderId="0" xfId="0" applyFont="1"/>
    <xf numFmtId="0" fontId="8" fillId="4" borderId="0" xfId="0" applyFont="1" applyFill="1"/>
    <xf numFmtId="0" fontId="9" fillId="4" borderId="0" xfId="0" applyFont="1" applyFill="1"/>
    <xf numFmtId="2" fontId="0" fillId="0" borderId="0" xfId="0" applyNumberFormat="1"/>
    <xf numFmtId="1" fontId="0" fillId="0" borderId="0" xfId="0" applyNumberFormat="1"/>
    <xf numFmtId="0" fontId="0" fillId="5" borderId="0" xfId="0" applyFill="1"/>
    <xf numFmtId="168" fontId="0" fillId="0" borderId="0" xfId="0" applyNumberFormat="1"/>
    <xf numFmtId="168" fontId="0" fillId="0" borderId="0" xfId="2" applyNumberFormat="1" applyFont="1"/>
    <xf numFmtId="0" fontId="5" fillId="0" borderId="0" xfId="0" applyFont="1" applyAlignment="1">
      <alignment horizontal="center"/>
    </xf>
    <xf numFmtId="0" fontId="6" fillId="0" borderId="0" xfId="0" applyFont="1" applyAlignment="1">
      <alignment horizontal="center"/>
    </xf>
    <xf numFmtId="0" fontId="0" fillId="0" borderId="0" xfId="0" applyNumberFormat="1"/>
  </cellXfs>
  <cellStyles count="3">
    <cellStyle name="Currency" xfId="1" builtinId="4"/>
    <cellStyle name="Normal" xfId="0" builtinId="0"/>
    <cellStyle name="Percent" xfId="2" builtinId="5"/>
  </cellStyles>
  <dxfs count="39">
    <dxf>
      <numFmt numFmtId="166" formatCode="_-[$$-409]* #,##0.00_ ;_-[$$-409]* \-#,##0.00\ ;_-[$$-409]* &quot;-&quot;??_ ;_-@_ "/>
    </dxf>
    <dxf>
      <numFmt numFmtId="34" formatCode="_ &quot;₹&quot;\ * #,##0.00_ ;_ &quot;₹&quot;\ * \-#,##0.00_ ;_ &quot;₹&quot;\ * &quot;-&quot;??_ ;_ @_ "/>
    </dxf>
    <dxf>
      <numFmt numFmtId="2" formatCode="0.00"/>
    </dxf>
    <dxf>
      <numFmt numFmtId="1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164" formatCode="_-[$$-409]* #,##0_ ;_-[$$-409]* \-#,##0\ ;_-[$$-409]* &quot;-&quot;??_ ;_-@_ "/>
    </dxf>
    <dxf>
      <numFmt numFmtId="27" formatCode="dd/mm/yyyy\ hh:mm"/>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s>
  <tableStyles count="9" defaultTableStyle="TableStyleMedium2" defaultPivotStyle="PivotStyleLight16">
    <tableStyle name="SlicerStyleLight1 2" pivot="0" table="0" count="10" xr9:uid="{8B4483E3-B331-4BDC-81DA-A365BF50EDDF}">
      <tableStyleElement type="wholeTable" dxfId="38"/>
      <tableStyleElement type="headerRow" dxfId="37"/>
    </tableStyle>
    <tableStyle name="SlicerStyleLight1 2 2" pivot="0" table="0" count="10" xr9:uid="{B1EC0975-AA90-4641-880E-6A02496698EE}">
      <tableStyleElement type="wholeTable" dxfId="36"/>
      <tableStyleElement type="headerRow" dxfId="35"/>
    </tableStyle>
    <tableStyle name="SlicerStyleLight1 2 3" pivot="0" table="0" count="10" xr9:uid="{2C0E13CE-65EE-48E2-A37A-EBA7EE1E4ED4}">
      <tableStyleElement type="wholeTable" dxfId="34"/>
      <tableStyleElement type="headerRow" dxfId="33"/>
    </tableStyle>
    <tableStyle name="SlicerStyleLight1 2 4" pivot="0" table="0" count="10" xr9:uid="{E741C254-82D7-4D56-B2A8-5AFEE5A13574}">
      <tableStyleElement type="wholeTable" dxfId="32"/>
      <tableStyleElement type="headerRow" dxfId="31"/>
    </tableStyle>
    <tableStyle name="SlicerStyleLight1 2 5" pivot="0" table="0" count="10" xr9:uid="{DB33FF83-80E0-49C9-B109-D210C5AF493D}">
      <tableStyleElement type="wholeTable" dxfId="30"/>
      <tableStyleElement type="headerRow" dxfId="29"/>
    </tableStyle>
    <tableStyle name="SlicerStyleLight1 2 6" pivot="0" table="0" count="10" xr9:uid="{84C296B0-479B-441C-B411-A7B7A067D6F8}">
      <tableStyleElement type="wholeTable" dxfId="28"/>
      <tableStyleElement type="headerRow" dxfId="27"/>
    </tableStyle>
    <tableStyle name="SlicerStyleLight1 2 7" pivot="0" table="0" count="10" xr9:uid="{FB2B7A79-75AD-4F9A-9E71-CD12F37475E1}">
      <tableStyleElement type="wholeTable" dxfId="26"/>
      <tableStyleElement type="headerRow" dxfId="25"/>
    </tableStyle>
    <tableStyle name="SlicerStyleLight1 2 8" pivot="0" table="0" count="10" xr9:uid="{3F571406-2CA9-43A6-B803-87EFBFE504C0}">
      <tableStyleElement type="wholeTable" dxfId="24"/>
      <tableStyleElement type="headerRow" dxfId="23"/>
    </tableStyle>
    <tableStyle name="SlicerStyleLight1 2 9" pivot="0" table="0" count="10" xr9:uid="{81F57093-AEFD-4152-A96F-0F86B4949F13}">
      <tableStyleElement type="wholeTable" dxfId="22"/>
      <tableStyleElement type="headerRow" dxfId="21"/>
    </tableStyle>
  </tableStyles>
  <colors>
    <mruColors>
      <color rgb="FF6690BC"/>
      <color rgb="FFC1121F"/>
    </mruColors>
  </colors>
  <extLst>
    <ext xmlns:x14="http://schemas.microsoft.com/office/spreadsheetml/2009/9/main" uri="{46F421CA-312F-682f-3DD2-61675219B42D}">
      <x14:dxfs count="7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1 2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1 2 3">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1 2 4">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1 2 5">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6">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7">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8">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9">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0">
                <a:effectLst/>
              </a:rPr>
              <a:t>Regional Opportunity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visualization!$A$71</c:f>
              <c:strCache>
                <c:ptCount val="1"/>
                <c:pt idx="0">
                  <c:v>Central</c:v>
                </c:pt>
              </c:strCache>
            </c:strRef>
          </c:tx>
          <c:spPr>
            <a:solidFill>
              <a:schemeClr val="accent1"/>
            </a:solidFill>
            <a:ln>
              <a:noFill/>
            </a:ln>
            <a:effectLst/>
          </c:spPr>
          <c:invertIfNegative val="0"/>
          <c:cat>
            <c:strRef>
              <c:f>visualization!$B$70:$D$70</c:f>
              <c:strCache>
                <c:ptCount val="3"/>
                <c:pt idx="0">
                  <c:v>Sum of ProductRevenue</c:v>
                </c:pt>
                <c:pt idx="1">
                  <c:v>Count of Opportunity ID</c:v>
                </c:pt>
                <c:pt idx="2">
                  <c:v>AverageOpportunityRevenue</c:v>
                </c:pt>
              </c:strCache>
            </c:strRef>
          </c:cat>
          <c:val>
            <c:numRef>
              <c:f>visualization!$B$71:$D$71</c:f>
              <c:numCache>
                <c:formatCode>General</c:formatCode>
                <c:ptCount val="3"/>
                <c:pt idx="0">
                  <c:v>786462100</c:v>
                </c:pt>
                <c:pt idx="1">
                  <c:v>178</c:v>
                </c:pt>
                <c:pt idx="2">
                  <c:v>4418326.4044943824</c:v>
                </c:pt>
              </c:numCache>
            </c:numRef>
          </c:val>
          <c:extLst>
            <c:ext xmlns:c16="http://schemas.microsoft.com/office/drawing/2014/chart" uri="{C3380CC4-5D6E-409C-BE32-E72D297353CC}">
              <c16:uniqueId val="{00000000-4A82-49E3-8F5E-8326860E31D0}"/>
            </c:ext>
          </c:extLst>
        </c:ser>
        <c:ser>
          <c:idx val="1"/>
          <c:order val="1"/>
          <c:tx>
            <c:strRef>
              <c:f>visualization!$A$72</c:f>
              <c:strCache>
                <c:ptCount val="1"/>
                <c:pt idx="0">
                  <c:v>East</c:v>
                </c:pt>
              </c:strCache>
            </c:strRef>
          </c:tx>
          <c:spPr>
            <a:solidFill>
              <a:schemeClr val="accent2"/>
            </a:solidFill>
            <a:ln>
              <a:noFill/>
            </a:ln>
            <a:effectLst/>
          </c:spPr>
          <c:invertIfNegative val="0"/>
          <c:cat>
            <c:strRef>
              <c:f>visualization!$B$70:$D$70</c:f>
              <c:strCache>
                <c:ptCount val="3"/>
                <c:pt idx="0">
                  <c:v>Sum of ProductRevenue</c:v>
                </c:pt>
                <c:pt idx="1">
                  <c:v>Count of Opportunity ID</c:v>
                </c:pt>
                <c:pt idx="2">
                  <c:v>AverageOpportunityRevenue</c:v>
                </c:pt>
              </c:strCache>
            </c:strRef>
          </c:cat>
          <c:val>
            <c:numRef>
              <c:f>visualization!$B$72:$D$72</c:f>
              <c:numCache>
                <c:formatCode>General</c:formatCode>
                <c:ptCount val="3"/>
                <c:pt idx="0">
                  <c:v>884509123</c:v>
                </c:pt>
                <c:pt idx="1">
                  <c:v>212</c:v>
                </c:pt>
                <c:pt idx="2">
                  <c:v>4172212.8443396227</c:v>
                </c:pt>
              </c:numCache>
            </c:numRef>
          </c:val>
          <c:extLst>
            <c:ext xmlns:c16="http://schemas.microsoft.com/office/drawing/2014/chart" uri="{C3380CC4-5D6E-409C-BE32-E72D297353CC}">
              <c16:uniqueId val="{00000001-4A82-49E3-8F5E-8326860E31D0}"/>
            </c:ext>
          </c:extLst>
        </c:ser>
        <c:ser>
          <c:idx val="2"/>
          <c:order val="2"/>
          <c:tx>
            <c:strRef>
              <c:f>visualization!$A$73</c:f>
              <c:strCache>
                <c:ptCount val="1"/>
                <c:pt idx="0">
                  <c:v>West</c:v>
                </c:pt>
              </c:strCache>
            </c:strRef>
          </c:tx>
          <c:spPr>
            <a:solidFill>
              <a:schemeClr val="accent3"/>
            </a:solidFill>
            <a:ln>
              <a:noFill/>
            </a:ln>
            <a:effectLst/>
          </c:spPr>
          <c:invertIfNegative val="0"/>
          <c:cat>
            <c:strRef>
              <c:f>visualization!$B$70:$D$70</c:f>
              <c:strCache>
                <c:ptCount val="3"/>
                <c:pt idx="0">
                  <c:v>Sum of ProductRevenue</c:v>
                </c:pt>
                <c:pt idx="1">
                  <c:v>Count of Opportunity ID</c:v>
                </c:pt>
                <c:pt idx="2">
                  <c:v>AverageOpportunityRevenue</c:v>
                </c:pt>
              </c:strCache>
            </c:strRef>
          </c:cat>
          <c:val>
            <c:numRef>
              <c:f>visualization!$B$73:$D$73</c:f>
              <c:numCache>
                <c:formatCode>General</c:formatCode>
                <c:ptCount val="3"/>
                <c:pt idx="0">
                  <c:v>439933904</c:v>
                </c:pt>
                <c:pt idx="1">
                  <c:v>96</c:v>
                </c:pt>
                <c:pt idx="2">
                  <c:v>4582644.833333333</c:v>
                </c:pt>
              </c:numCache>
            </c:numRef>
          </c:val>
          <c:extLst>
            <c:ext xmlns:c16="http://schemas.microsoft.com/office/drawing/2014/chart" uri="{C3380CC4-5D6E-409C-BE32-E72D297353CC}">
              <c16:uniqueId val="{00000002-4A82-49E3-8F5E-8326860E31D0}"/>
            </c:ext>
          </c:extLst>
        </c:ser>
        <c:dLbls>
          <c:showLegendKey val="0"/>
          <c:showVal val="0"/>
          <c:showCatName val="0"/>
          <c:showSerName val="0"/>
          <c:showPercent val="0"/>
          <c:showBubbleSize val="0"/>
        </c:dLbls>
        <c:gapWidth val="150"/>
        <c:overlap val="100"/>
        <c:axId val="991751247"/>
        <c:axId val="946710047"/>
      </c:barChart>
      <c:catAx>
        <c:axId val="991751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710047"/>
        <c:crosses val="autoZero"/>
        <c:auto val="1"/>
        <c:lblAlgn val="ctr"/>
        <c:lblOffset val="100"/>
        <c:noMultiLvlLbl val="0"/>
      </c:catAx>
      <c:valAx>
        <c:axId val="94671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751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Project.xlsm]visualization!PivotTable6</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0">
                <a:effectLst/>
              </a:rPr>
              <a:t>Opportunities Count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visualization!$B$79:$B$80</c:f>
              <c:strCache>
                <c:ptCount val="1"/>
                <c:pt idx="0">
                  <c:v>Finalize</c:v>
                </c:pt>
              </c:strCache>
            </c:strRef>
          </c:tx>
          <c:spPr>
            <a:solidFill>
              <a:schemeClr val="accent1"/>
            </a:solidFill>
            <a:ln>
              <a:noFill/>
            </a:ln>
            <a:effectLst/>
          </c:spPr>
          <c:invertIfNegative val="0"/>
          <c:cat>
            <c:strRef>
              <c:f>visualization!$A$81:$A$84</c:f>
              <c:strCache>
                <c:ptCount val="3"/>
                <c:pt idx="0">
                  <c:v>Central</c:v>
                </c:pt>
                <c:pt idx="1">
                  <c:v>East</c:v>
                </c:pt>
                <c:pt idx="2">
                  <c:v>West</c:v>
                </c:pt>
              </c:strCache>
            </c:strRef>
          </c:cat>
          <c:val>
            <c:numRef>
              <c:f>visualization!$B$81:$B$84</c:f>
              <c:numCache>
                <c:formatCode>General</c:formatCode>
                <c:ptCount val="3"/>
                <c:pt idx="0">
                  <c:v>3</c:v>
                </c:pt>
                <c:pt idx="1">
                  <c:v>5</c:v>
                </c:pt>
                <c:pt idx="2">
                  <c:v>6</c:v>
                </c:pt>
              </c:numCache>
            </c:numRef>
          </c:val>
          <c:extLst>
            <c:ext xmlns:c16="http://schemas.microsoft.com/office/drawing/2014/chart" uri="{C3380CC4-5D6E-409C-BE32-E72D297353CC}">
              <c16:uniqueId val="{00000000-B3EC-448B-8429-EA4E5480A155}"/>
            </c:ext>
          </c:extLst>
        </c:ser>
        <c:ser>
          <c:idx val="1"/>
          <c:order val="1"/>
          <c:tx>
            <c:strRef>
              <c:f>visualization!$C$79:$C$80</c:f>
              <c:strCache>
                <c:ptCount val="1"/>
                <c:pt idx="0">
                  <c:v>Lead</c:v>
                </c:pt>
              </c:strCache>
            </c:strRef>
          </c:tx>
          <c:spPr>
            <a:solidFill>
              <a:schemeClr val="accent2"/>
            </a:solidFill>
            <a:ln>
              <a:noFill/>
            </a:ln>
            <a:effectLst/>
          </c:spPr>
          <c:invertIfNegative val="0"/>
          <c:cat>
            <c:strRef>
              <c:f>visualization!$A$81:$A$84</c:f>
              <c:strCache>
                <c:ptCount val="3"/>
                <c:pt idx="0">
                  <c:v>Central</c:v>
                </c:pt>
                <c:pt idx="1">
                  <c:v>East</c:v>
                </c:pt>
                <c:pt idx="2">
                  <c:v>West</c:v>
                </c:pt>
              </c:strCache>
            </c:strRef>
          </c:cat>
          <c:val>
            <c:numRef>
              <c:f>visualization!$C$81:$C$84</c:f>
              <c:numCache>
                <c:formatCode>General</c:formatCode>
                <c:ptCount val="3"/>
                <c:pt idx="0">
                  <c:v>104</c:v>
                </c:pt>
                <c:pt idx="1">
                  <c:v>118</c:v>
                </c:pt>
                <c:pt idx="2">
                  <c:v>45</c:v>
                </c:pt>
              </c:numCache>
            </c:numRef>
          </c:val>
          <c:extLst>
            <c:ext xmlns:c16="http://schemas.microsoft.com/office/drawing/2014/chart" uri="{C3380CC4-5D6E-409C-BE32-E72D297353CC}">
              <c16:uniqueId val="{00000000-40FB-441C-B95A-B31AC5F887B9}"/>
            </c:ext>
          </c:extLst>
        </c:ser>
        <c:ser>
          <c:idx val="2"/>
          <c:order val="2"/>
          <c:tx>
            <c:strRef>
              <c:f>visualization!$D$79:$D$80</c:f>
              <c:strCache>
                <c:ptCount val="1"/>
                <c:pt idx="0">
                  <c:v>Proposal</c:v>
                </c:pt>
              </c:strCache>
            </c:strRef>
          </c:tx>
          <c:spPr>
            <a:solidFill>
              <a:schemeClr val="accent3"/>
            </a:solidFill>
            <a:ln>
              <a:noFill/>
            </a:ln>
            <a:effectLst/>
          </c:spPr>
          <c:invertIfNegative val="0"/>
          <c:cat>
            <c:strRef>
              <c:f>visualization!$A$81:$A$84</c:f>
              <c:strCache>
                <c:ptCount val="3"/>
                <c:pt idx="0">
                  <c:v>Central</c:v>
                </c:pt>
                <c:pt idx="1">
                  <c:v>East</c:v>
                </c:pt>
                <c:pt idx="2">
                  <c:v>West</c:v>
                </c:pt>
              </c:strCache>
            </c:strRef>
          </c:cat>
          <c:val>
            <c:numRef>
              <c:f>visualization!$D$81:$D$84</c:f>
              <c:numCache>
                <c:formatCode>General</c:formatCode>
                <c:ptCount val="3"/>
                <c:pt idx="0">
                  <c:v>19</c:v>
                </c:pt>
                <c:pt idx="1">
                  <c:v>12</c:v>
                </c:pt>
                <c:pt idx="2">
                  <c:v>6</c:v>
                </c:pt>
              </c:numCache>
            </c:numRef>
          </c:val>
          <c:extLst>
            <c:ext xmlns:c16="http://schemas.microsoft.com/office/drawing/2014/chart" uri="{C3380CC4-5D6E-409C-BE32-E72D297353CC}">
              <c16:uniqueId val="{00000006-40FB-441C-B95A-B31AC5F887B9}"/>
            </c:ext>
          </c:extLst>
        </c:ser>
        <c:ser>
          <c:idx val="3"/>
          <c:order val="3"/>
          <c:tx>
            <c:strRef>
              <c:f>visualization!$E$79:$E$80</c:f>
              <c:strCache>
                <c:ptCount val="1"/>
                <c:pt idx="0">
                  <c:v>Qualify</c:v>
                </c:pt>
              </c:strCache>
            </c:strRef>
          </c:tx>
          <c:spPr>
            <a:solidFill>
              <a:schemeClr val="accent4"/>
            </a:solidFill>
            <a:ln>
              <a:noFill/>
            </a:ln>
            <a:effectLst/>
          </c:spPr>
          <c:invertIfNegative val="0"/>
          <c:cat>
            <c:strRef>
              <c:f>visualization!$A$81:$A$84</c:f>
              <c:strCache>
                <c:ptCount val="3"/>
                <c:pt idx="0">
                  <c:v>Central</c:v>
                </c:pt>
                <c:pt idx="1">
                  <c:v>East</c:v>
                </c:pt>
                <c:pt idx="2">
                  <c:v>West</c:v>
                </c:pt>
              </c:strCache>
            </c:strRef>
          </c:cat>
          <c:val>
            <c:numRef>
              <c:f>visualization!$E$81:$E$84</c:f>
              <c:numCache>
                <c:formatCode>General</c:formatCode>
                <c:ptCount val="3"/>
                <c:pt idx="0">
                  <c:v>32</c:v>
                </c:pt>
                <c:pt idx="1">
                  <c:v>39</c:v>
                </c:pt>
                <c:pt idx="2">
                  <c:v>23</c:v>
                </c:pt>
              </c:numCache>
            </c:numRef>
          </c:val>
          <c:extLst>
            <c:ext xmlns:c16="http://schemas.microsoft.com/office/drawing/2014/chart" uri="{C3380CC4-5D6E-409C-BE32-E72D297353CC}">
              <c16:uniqueId val="{00000000-877F-4A49-A89B-491461E889A0}"/>
            </c:ext>
          </c:extLst>
        </c:ser>
        <c:ser>
          <c:idx val="4"/>
          <c:order val="4"/>
          <c:tx>
            <c:strRef>
              <c:f>visualization!$F$79:$F$80</c:f>
              <c:strCache>
                <c:ptCount val="1"/>
                <c:pt idx="0">
                  <c:v>Solution</c:v>
                </c:pt>
              </c:strCache>
            </c:strRef>
          </c:tx>
          <c:spPr>
            <a:solidFill>
              <a:schemeClr val="accent5"/>
            </a:solidFill>
            <a:ln>
              <a:noFill/>
            </a:ln>
            <a:effectLst/>
          </c:spPr>
          <c:invertIfNegative val="0"/>
          <c:cat>
            <c:strRef>
              <c:f>visualization!$A$81:$A$84</c:f>
              <c:strCache>
                <c:ptCount val="3"/>
                <c:pt idx="0">
                  <c:v>Central</c:v>
                </c:pt>
                <c:pt idx="1">
                  <c:v>East</c:v>
                </c:pt>
                <c:pt idx="2">
                  <c:v>West</c:v>
                </c:pt>
              </c:strCache>
            </c:strRef>
          </c:cat>
          <c:val>
            <c:numRef>
              <c:f>visualization!$F$81:$F$84</c:f>
              <c:numCache>
                <c:formatCode>General</c:formatCode>
                <c:ptCount val="3"/>
                <c:pt idx="0">
                  <c:v>20</c:v>
                </c:pt>
                <c:pt idx="1">
                  <c:v>38</c:v>
                </c:pt>
                <c:pt idx="2">
                  <c:v>16</c:v>
                </c:pt>
              </c:numCache>
            </c:numRef>
          </c:val>
          <c:extLst>
            <c:ext xmlns:c16="http://schemas.microsoft.com/office/drawing/2014/chart" uri="{C3380CC4-5D6E-409C-BE32-E72D297353CC}">
              <c16:uniqueId val="{00000001-877F-4A49-A89B-491461E889A0}"/>
            </c:ext>
          </c:extLst>
        </c:ser>
        <c:dLbls>
          <c:showLegendKey val="0"/>
          <c:showVal val="0"/>
          <c:showCatName val="0"/>
          <c:showSerName val="0"/>
          <c:showPercent val="0"/>
          <c:showBubbleSize val="0"/>
        </c:dLbls>
        <c:gapWidth val="182"/>
        <c:axId val="991746447"/>
        <c:axId val="946691199"/>
      </c:barChart>
      <c:catAx>
        <c:axId val="991746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691199"/>
        <c:crosses val="autoZero"/>
        <c:auto val="1"/>
        <c:lblAlgn val="ctr"/>
        <c:lblOffset val="100"/>
        <c:noMultiLvlLbl val="0"/>
      </c:catAx>
      <c:valAx>
        <c:axId val="94669119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746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Project.xlsm]visualization!PivotTable29</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b="1" i="0">
                <a:effectLst/>
              </a:rPr>
              <a:t>Product Revenue Trends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visualization!$B$92:$B$93</c:f>
              <c:strCache>
                <c:ptCount val="1"/>
                <c:pt idx="0">
                  <c:v>Abbas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visualization!$B$94:$B$107</c:f>
              <c:numCache>
                <c:formatCode>General</c:formatCode>
                <c:ptCount val="12"/>
                <c:pt idx="0">
                  <c:v>22155750</c:v>
                </c:pt>
                <c:pt idx="2">
                  <c:v>11115632</c:v>
                </c:pt>
                <c:pt idx="3">
                  <c:v>9370509</c:v>
                </c:pt>
                <c:pt idx="4">
                  <c:v>7499745</c:v>
                </c:pt>
                <c:pt idx="5">
                  <c:v>10059839</c:v>
                </c:pt>
                <c:pt idx="8">
                  <c:v>4152171</c:v>
                </c:pt>
                <c:pt idx="9">
                  <c:v>6987102</c:v>
                </c:pt>
                <c:pt idx="10">
                  <c:v>7369599</c:v>
                </c:pt>
                <c:pt idx="11">
                  <c:v>16888317</c:v>
                </c:pt>
              </c:numCache>
            </c:numRef>
          </c:val>
          <c:extLst>
            <c:ext xmlns:c16="http://schemas.microsoft.com/office/drawing/2014/chart" uri="{C3380CC4-5D6E-409C-BE32-E72D297353CC}">
              <c16:uniqueId val="{00000000-69A9-4536-9F43-E0841E616886}"/>
            </c:ext>
          </c:extLst>
        </c:ser>
        <c:ser>
          <c:idx val="1"/>
          <c:order val="1"/>
          <c:tx>
            <c:strRef>
              <c:f>visualization!$C$92:$C$93</c:f>
              <c:strCache>
                <c:ptCount val="1"/>
                <c:pt idx="0">
                  <c:v>Aqua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visualization!$C$94:$C$107</c:f>
              <c:numCache>
                <c:formatCode>General</c:formatCode>
                <c:ptCount val="12"/>
                <c:pt idx="0">
                  <c:v>14061253</c:v>
                </c:pt>
                <c:pt idx="1">
                  <c:v>10669713</c:v>
                </c:pt>
                <c:pt idx="3">
                  <c:v>16669260</c:v>
                </c:pt>
                <c:pt idx="4">
                  <c:v>15361678</c:v>
                </c:pt>
                <c:pt idx="5">
                  <c:v>11856761</c:v>
                </c:pt>
                <c:pt idx="6">
                  <c:v>19857946</c:v>
                </c:pt>
                <c:pt idx="8">
                  <c:v>11835783</c:v>
                </c:pt>
                <c:pt idx="11">
                  <c:v>18035419</c:v>
                </c:pt>
              </c:numCache>
            </c:numRef>
          </c:val>
          <c:extLst>
            <c:ext xmlns:c16="http://schemas.microsoft.com/office/drawing/2014/chart" uri="{C3380CC4-5D6E-409C-BE32-E72D297353CC}">
              <c16:uniqueId val="{00000000-E78D-4852-9551-D825A1AB9F79}"/>
            </c:ext>
          </c:extLst>
        </c:ser>
        <c:ser>
          <c:idx val="2"/>
          <c:order val="2"/>
          <c:tx>
            <c:strRef>
              <c:f>visualization!$D$92:$D$93</c:f>
              <c:strCache>
                <c:ptCount val="1"/>
                <c:pt idx="0">
                  <c:v>Basium</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visualization!$D$94:$D$107</c:f>
              <c:numCache>
                <c:formatCode>General</c:formatCode>
                <c:ptCount val="12"/>
                <c:pt idx="1">
                  <c:v>22268870</c:v>
                </c:pt>
                <c:pt idx="2">
                  <c:v>9347485</c:v>
                </c:pt>
                <c:pt idx="3">
                  <c:v>6258818</c:v>
                </c:pt>
                <c:pt idx="4">
                  <c:v>22127997</c:v>
                </c:pt>
                <c:pt idx="5">
                  <c:v>573880</c:v>
                </c:pt>
                <c:pt idx="6">
                  <c:v>8477946</c:v>
                </c:pt>
                <c:pt idx="8">
                  <c:v>6628642</c:v>
                </c:pt>
                <c:pt idx="10">
                  <c:v>18838591</c:v>
                </c:pt>
                <c:pt idx="11">
                  <c:v>15150739</c:v>
                </c:pt>
              </c:numCache>
            </c:numRef>
          </c:val>
          <c:extLst>
            <c:ext xmlns:c16="http://schemas.microsoft.com/office/drawing/2014/chart" uri="{C3380CC4-5D6E-409C-BE32-E72D297353CC}">
              <c16:uniqueId val="{00000001-E78D-4852-9551-D825A1AB9F79}"/>
            </c:ext>
          </c:extLst>
        </c:ser>
        <c:ser>
          <c:idx val="3"/>
          <c:order val="3"/>
          <c:tx>
            <c:strRef>
              <c:f>visualization!$E$92:$E$93</c:f>
              <c:strCache>
                <c:ptCount val="1"/>
                <c:pt idx="0">
                  <c:v>Bellus</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visualization!$E$94:$E$107</c:f>
              <c:numCache>
                <c:formatCode>General</c:formatCode>
                <c:ptCount val="12"/>
                <c:pt idx="2">
                  <c:v>15204095</c:v>
                </c:pt>
                <c:pt idx="3">
                  <c:v>19523599</c:v>
                </c:pt>
                <c:pt idx="4">
                  <c:v>1513800</c:v>
                </c:pt>
                <c:pt idx="5">
                  <c:v>17408324</c:v>
                </c:pt>
                <c:pt idx="6">
                  <c:v>5145971</c:v>
                </c:pt>
                <c:pt idx="7">
                  <c:v>3740355</c:v>
                </c:pt>
                <c:pt idx="9">
                  <c:v>4716033</c:v>
                </c:pt>
                <c:pt idx="10">
                  <c:v>10142938</c:v>
                </c:pt>
                <c:pt idx="11">
                  <c:v>3874183</c:v>
                </c:pt>
              </c:numCache>
            </c:numRef>
          </c:val>
          <c:extLst>
            <c:ext xmlns:c16="http://schemas.microsoft.com/office/drawing/2014/chart" uri="{C3380CC4-5D6E-409C-BE32-E72D297353CC}">
              <c16:uniqueId val="{00000002-E78D-4852-9551-D825A1AB9F79}"/>
            </c:ext>
          </c:extLst>
        </c:ser>
        <c:ser>
          <c:idx val="4"/>
          <c:order val="4"/>
          <c:tx>
            <c:strRef>
              <c:f>visualization!$F$92:$F$93</c:f>
              <c:strCache>
                <c:ptCount val="1"/>
                <c:pt idx="0">
                  <c:v>Campana</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visualization!$F$94:$F$107</c:f>
              <c:numCache>
                <c:formatCode>General</c:formatCode>
                <c:ptCount val="12"/>
                <c:pt idx="0">
                  <c:v>538200</c:v>
                </c:pt>
                <c:pt idx="2">
                  <c:v>5659972</c:v>
                </c:pt>
                <c:pt idx="3">
                  <c:v>1453601</c:v>
                </c:pt>
                <c:pt idx="4">
                  <c:v>11934504</c:v>
                </c:pt>
                <c:pt idx="7">
                  <c:v>4419265</c:v>
                </c:pt>
                <c:pt idx="8">
                  <c:v>9126252</c:v>
                </c:pt>
                <c:pt idx="9">
                  <c:v>165120</c:v>
                </c:pt>
                <c:pt idx="11">
                  <c:v>19224277</c:v>
                </c:pt>
              </c:numCache>
            </c:numRef>
          </c:val>
          <c:extLst>
            <c:ext xmlns:c16="http://schemas.microsoft.com/office/drawing/2014/chart" uri="{C3380CC4-5D6E-409C-BE32-E72D297353CC}">
              <c16:uniqueId val="{00000003-E78D-4852-9551-D825A1AB9F79}"/>
            </c:ext>
          </c:extLst>
        </c:ser>
        <c:ser>
          <c:idx val="5"/>
          <c:order val="5"/>
          <c:tx>
            <c:strRef>
              <c:f>visualization!$G$92:$G$93</c:f>
              <c:strCache>
                <c:ptCount val="1"/>
                <c:pt idx="0">
                  <c:v>Carmen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visualization!$G$94:$G$107</c:f>
              <c:numCache>
                <c:formatCode>General</c:formatCode>
                <c:ptCount val="12"/>
                <c:pt idx="0">
                  <c:v>12121368</c:v>
                </c:pt>
                <c:pt idx="1">
                  <c:v>668168</c:v>
                </c:pt>
                <c:pt idx="2">
                  <c:v>13711012</c:v>
                </c:pt>
                <c:pt idx="4">
                  <c:v>6661729</c:v>
                </c:pt>
                <c:pt idx="5">
                  <c:v>3700117</c:v>
                </c:pt>
                <c:pt idx="6">
                  <c:v>16431406</c:v>
                </c:pt>
                <c:pt idx="8">
                  <c:v>3944956</c:v>
                </c:pt>
                <c:pt idx="9">
                  <c:v>1243383</c:v>
                </c:pt>
                <c:pt idx="10">
                  <c:v>6203732</c:v>
                </c:pt>
                <c:pt idx="11">
                  <c:v>6636308</c:v>
                </c:pt>
              </c:numCache>
            </c:numRef>
          </c:val>
          <c:extLst>
            <c:ext xmlns:c16="http://schemas.microsoft.com/office/drawing/2014/chart" uri="{C3380CC4-5D6E-409C-BE32-E72D297353CC}">
              <c16:uniqueId val="{00000004-E78D-4852-9551-D825A1AB9F79}"/>
            </c:ext>
          </c:extLst>
        </c:ser>
        <c:ser>
          <c:idx val="6"/>
          <c:order val="6"/>
          <c:tx>
            <c:strRef>
              <c:f>visualization!$H$92:$H$93</c:f>
              <c:strCache>
                <c:ptCount val="1"/>
                <c:pt idx="0">
                  <c:v>Decimus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visualization!$H$94:$H$107</c:f>
              <c:numCache>
                <c:formatCode>General</c:formatCode>
                <c:ptCount val="12"/>
                <c:pt idx="1">
                  <c:v>9585488</c:v>
                </c:pt>
                <c:pt idx="2">
                  <c:v>436862</c:v>
                </c:pt>
                <c:pt idx="4">
                  <c:v>6695862</c:v>
                </c:pt>
                <c:pt idx="5">
                  <c:v>15390027</c:v>
                </c:pt>
                <c:pt idx="11">
                  <c:v>8682166</c:v>
                </c:pt>
              </c:numCache>
            </c:numRef>
          </c:val>
          <c:extLst>
            <c:ext xmlns:c16="http://schemas.microsoft.com/office/drawing/2014/chart" uri="{C3380CC4-5D6E-409C-BE32-E72D297353CC}">
              <c16:uniqueId val="{00000005-E78D-4852-9551-D825A1AB9F79}"/>
            </c:ext>
          </c:extLst>
        </c:ser>
        <c:ser>
          <c:idx val="7"/>
          <c:order val="7"/>
          <c:tx>
            <c:strRef>
              <c:f>visualization!$I$92:$I$93</c:f>
              <c:strCache>
                <c:ptCount val="1"/>
                <c:pt idx="0">
                  <c:v>Eligo</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visualization!$I$94:$I$107</c:f>
              <c:numCache>
                <c:formatCode>General</c:formatCode>
                <c:ptCount val="12"/>
                <c:pt idx="0">
                  <c:v>7548011</c:v>
                </c:pt>
                <c:pt idx="1">
                  <c:v>5948001</c:v>
                </c:pt>
                <c:pt idx="2">
                  <c:v>7170770</c:v>
                </c:pt>
                <c:pt idx="4">
                  <c:v>8478832</c:v>
                </c:pt>
                <c:pt idx="5">
                  <c:v>15272382</c:v>
                </c:pt>
                <c:pt idx="6">
                  <c:v>13818364</c:v>
                </c:pt>
                <c:pt idx="7">
                  <c:v>8054791</c:v>
                </c:pt>
                <c:pt idx="9">
                  <c:v>2661279</c:v>
                </c:pt>
                <c:pt idx="11">
                  <c:v>27403611</c:v>
                </c:pt>
              </c:numCache>
            </c:numRef>
          </c:val>
          <c:extLst>
            <c:ext xmlns:c16="http://schemas.microsoft.com/office/drawing/2014/chart" uri="{C3380CC4-5D6E-409C-BE32-E72D297353CC}">
              <c16:uniqueId val="{00000006-E78D-4852-9551-D825A1AB9F79}"/>
            </c:ext>
          </c:extLst>
        </c:ser>
        <c:ser>
          <c:idx val="8"/>
          <c:order val="8"/>
          <c:tx>
            <c:strRef>
              <c:f>visualization!$J$92:$J$93</c:f>
              <c:strCache>
                <c:ptCount val="1"/>
                <c:pt idx="0">
                  <c:v>Fatum</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visualization!$J$94:$J$107</c:f>
              <c:numCache>
                <c:formatCode>General</c:formatCode>
                <c:ptCount val="12"/>
                <c:pt idx="0">
                  <c:v>12837180</c:v>
                </c:pt>
                <c:pt idx="1">
                  <c:v>7866291</c:v>
                </c:pt>
                <c:pt idx="2">
                  <c:v>4295490</c:v>
                </c:pt>
                <c:pt idx="3">
                  <c:v>3990917</c:v>
                </c:pt>
                <c:pt idx="4">
                  <c:v>19239635</c:v>
                </c:pt>
                <c:pt idx="5">
                  <c:v>11723770</c:v>
                </c:pt>
                <c:pt idx="6">
                  <c:v>10897577</c:v>
                </c:pt>
                <c:pt idx="7">
                  <c:v>7306255</c:v>
                </c:pt>
                <c:pt idx="9">
                  <c:v>8473963</c:v>
                </c:pt>
              </c:numCache>
            </c:numRef>
          </c:val>
          <c:extLst>
            <c:ext xmlns:c16="http://schemas.microsoft.com/office/drawing/2014/chart" uri="{C3380CC4-5D6E-409C-BE32-E72D297353CC}">
              <c16:uniqueId val="{00000007-E78D-4852-9551-D825A1AB9F79}"/>
            </c:ext>
          </c:extLst>
        </c:ser>
        <c:ser>
          <c:idx val="9"/>
          <c:order val="9"/>
          <c:tx>
            <c:strRef>
              <c:f>visualization!$K$92:$K$93</c:f>
              <c:strCache>
                <c:ptCount val="1"/>
                <c:pt idx="0">
                  <c:v>Gratus</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visualization!$K$94:$K$107</c:f>
              <c:numCache>
                <c:formatCode>General</c:formatCode>
                <c:ptCount val="12"/>
                <c:pt idx="0">
                  <c:v>12156466</c:v>
                </c:pt>
                <c:pt idx="1">
                  <c:v>7576725</c:v>
                </c:pt>
                <c:pt idx="3">
                  <c:v>8241291</c:v>
                </c:pt>
                <c:pt idx="4">
                  <c:v>3127039</c:v>
                </c:pt>
                <c:pt idx="5">
                  <c:v>1712142</c:v>
                </c:pt>
                <c:pt idx="7">
                  <c:v>12150370</c:v>
                </c:pt>
                <c:pt idx="8">
                  <c:v>4946300</c:v>
                </c:pt>
                <c:pt idx="10">
                  <c:v>2475475</c:v>
                </c:pt>
                <c:pt idx="11">
                  <c:v>12190387</c:v>
                </c:pt>
              </c:numCache>
            </c:numRef>
          </c:val>
          <c:extLst>
            <c:ext xmlns:c16="http://schemas.microsoft.com/office/drawing/2014/chart" uri="{C3380CC4-5D6E-409C-BE32-E72D297353CC}">
              <c16:uniqueId val="{00000008-E78D-4852-9551-D825A1AB9F79}"/>
            </c:ext>
          </c:extLst>
        </c:ser>
        <c:ser>
          <c:idx val="10"/>
          <c:order val="10"/>
          <c:tx>
            <c:strRef>
              <c:f>visualization!$L$92:$L$93</c:f>
              <c:strCache>
                <c:ptCount val="1"/>
                <c:pt idx="0">
                  <c:v>Habitus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visualization!$L$94:$L$107</c:f>
              <c:numCache>
                <c:formatCode>General</c:formatCode>
                <c:ptCount val="12"/>
                <c:pt idx="2">
                  <c:v>349382</c:v>
                </c:pt>
                <c:pt idx="3">
                  <c:v>5687381</c:v>
                </c:pt>
                <c:pt idx="4">
                  <c:v>4532970</c:v>
                </c:pt>
                <c:pt idx="5">
                  <c:v>13464996</c:v>
                </c:pt>
                <c:pt idx="6">
                  <c:v>7195385</c:v>
                </c:pt>
                <c:pt idx="7">
                  <c:v>425004</c:v>
                </c:pt>
                <c:pt idx="8">
                  <c:v>9777612</c:v>
                </c:pt>
                <c:pt idx="9">
                  <c:v>2696026</c:v>
                </c:pt>
                <c:pt idx="10">
                  <c:v>448423</c:v>
                </c:pt>
                <c:pt idx="11">
                  <c:v>5032264</c:v>
                </c:pt>
              </c:numCache>
            </c:numRef>
          </c:val>
          <c:extLst>
            <c:ext xmlns:c16="http://schemas.microsoft.com/office/drawing/2014/chart" uri="{C3380CC4-5D6E-409C-BE32-E72D297353CC}">
              <c16:uniqueId val="{00000009-E78D-4852-9551-D825A1AB9F79}"/>
            </c:ext>
          </c:extLst>
        </c:ser>
        <c:ser>
          <c:idx val="11"/>
          <c:order val="11"/>
          <c:tx>
            <c:strRef>
              <c:f>visualization!$M$92:$M$93</c:f>
              <c:strCache>
                <c:ptCount val="1"/>
                <c:pt idx="0">
                  <c:v>Ignis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visualization!$M$94:$M$107</c:f>
              <c:numCache>
                <c:formatCode>General</c:formatCode>
                <c:ptCount val="12"/>
                <c:pt idx="0">
                  <c:v>22866407</c:v>
                </c:pt>
                <c:pt idx="3">
                  <c:v>13103802</c:v>
                </c:pt>
                <c:pt idx="4">
                  <c:v>1541529</c:v>
                </c:pt>
                <c:pt idx="5">
                  <c:v>16699929</c:v>
                </c:pt>
                <c:pt idx="6">
                  <c:v>2905585</c:v>
                </c:pt>
                <c:pt idx="8">
                  <c:v>19815343</c:v>
                </c:pt>
                <c:pt idx="9">
                  <c:v>9597240</c:v>
                </c:pt>
                <c:pt idx="10">
                  <c:v>2558630</c:v>
                </c:pt>
                <c:pt idx="11">
                  <c:v>3843459</c:v>
                </c:pt>
              </c:numCache>
            </c:numRef>
          </c:val>
          <c:extLst>
            <c:ext xmlns:c16="http://schemas.microsoft.com/office/drawing/2014/chart" uri="{C3380CC4-5D6E-409C-BE32-E72D297353CC}">
              <c16:uniqueId val="{0000000A-E78D-4852-9551-D825A1AB9F79}"/>
            </c:ext>
          </c:extLst>
        </c:ser>
        <c:ser>
          <c:idx val="12"/>
          <c:order val="12"/>
          <c:tx>
            <c:strRef>
              <c:f>visualization!$N$92:$N$93</c:f>
              <c:strCache>
                <c:ptCount val="1"/>
                <c:pt idx="0">
                  <c:v>Juvenis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visualization!$N$94:$N$107</c:f>
              <c:numCache>
                <c:formatCode>General</c:formatCode>
                <c:ptCount val="12"/>
                <c:pt idx="1">
                  <c:v>782755</c:v>
                </c:pt>
                <c:pt idx="2">
                  <c:v>4479648</c:v>
                </c:pt>
                <c:pt idx="3">
                  <c:v>200538</c:v>
                </c:pt>
                <c:pt idx="4">
                  <c:v>17262820</c:v>
                </c:pt>
                <c:pt idx="5">
                  <c:v>36055591</c:v>
                </c:pt>
                <c:pt idx="6">
                  <c:v>11502209</c:v>
                </c:pt>
                <c:pt idx="8">
                  <c:v>10122063</c:v>
                </c:pt>
                <c:pt idx="9">
                  <c:v>3503207</c:v>
                </c:pt>
                <c:pt idx="10">
                  <c:v>21759086</c:v>
                </c:pt>
              </c:numCache>
            </c:numRef>
          </c:val>
          <c:extLst>
            <c:ext xmlns:c16="http://schemas.microsoft.com/office/drawing/2014/chart" uri="{C3380CC4-5D6E-409C-BE32-E72D297353CC}">
              <c16:uniqueId val="{0000000B-E78D-4852-9551-D825A1AB9F79}"/>
            </c:ext>
          </c:extLst>
        </c:ser>
        <c:ser>
          <c:idx val="13"/>
          <c:order val="13"/>
          <c:tx>
            <c:strRef>
              <c:f>visualization!$O$92:$O$93</c:f>
              <c:strCache>
                <c:ptCount val="1"/>
                <c:pt idx="0">
                  <c:v>Lacuna</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visualization!$O$94:$O$107</c:f>
              <c:numCache>
                <c:formatCode>General</c:formatCode>
                <c:ptCount val="12"/>
                <c:pt idx="1">
                  <c:v>1139244</c:v>
                </c:pt>
                <c:pt idx="2">
                  <c:v>1828155</c:v>
                </c:pt>
                <c:pt idx="3">
                  <c:v>9690684</c:v>
                </c:pt>
                <c:pt idx="4">
                  <c:v>657213</c:v>
                </c:pt>
                <c:pt idx="5">
                  <c:v>9225596</c:v>
                </c:pt>
                <c:pt idx="6">
                  <c:v>6312394</c:v>
                </c:pt>
                <c:pt idx="7">
                  <c:v>747030</c:v>
                </c:pt>
                <c:pt idx="9">
                  <c:v>10342876</c:v>
                </c:pt>
                <c:pt idx="11">
                  <c:v>27440140</c:v>
                </c:pt>
              </c:numCache>
            </c:numRef>
          </c:val>
          <c:extLst>
            <c:ext xmlns:c16="http://schemas.microsoft.com/office/drawing/2014/chart" uri="{C3380CC4-5D6E-409C-BE32-E72D297353CC}">
              <c16:uniqueId val="{0000000C-E78D-4852-9551-D825A1AB9F79}"/>
            </c:ext>
          </c:extLst>
        </c:ser>
        <c:ser>
          <c:idx val="14"/>
          <c:order val="14"/>
          <c:tx>
            <c:strRef>
              <c:f>visualization!$P$92:$P$93</c:f>
              <c:strCache>
                <c:ptCount val="1"/>
                <c:pt idx="0">
                  <c:v>Magis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visualization!$P$94:$P$107</c:f>
              <c:numCache>
                <c:formatCode>General</c:formatCode>
                <c:ptCount val="12"/>
                <c:pt idx="0">
                  <c:v>11850865</c:v>
                </c:pt>
                <c:pt idx="1">
                  <c:v>7186824</c:v>
                </c:pt>
                <c:pt idx="2">
                  <c:v>6013531</c:v>
                </c:pt>
                <c:pt idx="3">
                  <c:v>4441789</c:v>
                </c:pt>
                <c:pt idx="4">
                  <c:v>10872034</c:v>
                </c:pt>
                <c:pt idx="5">
                  <c:v>2702266</c:v>
                </c:pt>
                <c:pt idx="6">
                  <c:v>23725</c:v>
                </c:pt>
                <c:pt idx="7">
                  <c:v>3673659</c:v>
                </c:pt>
                <c:pt idx="8">
                  <c:v>9768746</c:v>
                </c:pt>
                <c:pt idx="9">
                  <c:v>17143917</c:v>
                </c:pt>
                <c:pt idx="10">
                  <c:v>17604760</c:v>
                </c:pt>
                <c:pt idx="11">
                  <c:v>8018865</c:v>
                </c:pt>
              </c:numCache>
            </c:numRef>
          </c:val>
          <c:extLst>
            <c:ext xmlns:c16="http://schemas.microsoft.com/office/drawing/2014/chart" uri="{C3380CC4-5D6E-409C-BE32-E72D297353CC}">
              <c16:uniqueId val="{0000000D-E78D-4852-9551-D825A1AB9F79}"/>
            </c:ext>
          </c:extLst>
        </c:ser>
        <c:ser>
          <c:idx val="15"/>
          <c:order val="15"/>
          <c:tx>
            <c:strRef>
              <c:f>visualization!$Q$92:$Q$93</c:f>
              <c:strCache>
                <c:ptCount val="1"/>
                <c:pt idx="0">
                  <c:v>Maximus</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visualization!$Q$94:$Q$107</c:f>
              <c:numCache>
                <c:formatCode>General</c:formatCode>
                <c:ptCount val="12"/>
                <c:pt idx="0">
                  <c:v>8218140</c:v>
                </c:pt>
                <c:pt idx="1">
                  <c:v>85763</c:v>
                </c:pt>
                <c:pt idx="2">
                  <c:v>13648029</c:v>
                </c:pt>
                <c:pt idx="4">
                  <c:v>2401584</c:v>
                </c:pt>
                <c:pt idx="5">
                  <c:v>17585991</c:v>
                </c:pt>
                <c:pt idx="6">
                  <c:v>3334564</c:v>
                </c:pt>
                <c:pt idx="7">
                  <c:v>25888836</c:v>
                </c:pt>
                <c:pt idx="8">
                  <c:v>1456290</c:v>
                </c:pt>
                <c:pt idx="9">
                  <c:v>925945</c:v>
                </c:pt>
                <c:pt idx="10">
                  <c:v>8950356</c:v>
                </c:pt>
                <c:pt idx="11">
                  <c:v>15410316</c:v>
                </c:pt>
              </c:numCache>
            </c:numRef>
          </c:val>
          <c:extLst>
            <c:ext xmlns:c16="http://schemas.microsoft.com/office/drawing/2014/chart" uri="{C3380CC4-5D6E-409C-BE32-E72D297353CC}">
              <c16:uniqueId val="{0000000E-E78D-4852-9551-D825A1AB9F79}"/>
            </c:ext>
          </c:extLst>
        </c:ser>
        <c:ser>
          <c:idx val="16"/>
          <c:order val="16"/>
          <c:tx>
            <c:strRef>
              <c:f>visualization!$R$92:$R$93</c:f>
              <c:strCache>
                <c:ptCount val="1"/>
                <c:pt idx="0">
                  <c:v>Nimis</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visualization!$R$94:$R$107</c:f>
              <c:numCache>
                <c:formatCode>General</c:formatCode>
                <c:ptCount val="12"/>
                <c:pt idx="1">
                  <c:v>9801488</c:v>
                </c:pt>
                <c:pt idx="2">
                  <c:v>4644239</c:v>
                </c:pt>
                <c:pt idx="3">
                  <c:v>9730252</c:v>
                </c:pt>
                <c:pt idx="5">
                  <c:v>28565698</c:v>
                </c:pt>
                <c:pt idx="6">
                  <c:v>16179370</c:v>
                </c:pt>
                <c:pt idx="8">
                  <c:v>7768660</c:v>
                </c:pt>
                <c:pt idx="11">
                  <c:v>14437368</c:v>
                </c:pt>
              </c:numCache>
            </c:numRef>
          </c:val>
          <c:extLst>
            <c:ext xmlns:c16="http://schemas.microsoft.com/office/drawing/2014/chart" uri="{C3380CC4-5D6E-409C-BE32-E72D297353CC}">
              <c16:uniqueId val="{0000000F-E78D-4852-9551-D825A1AB9F79}"/>
            </c:ext>
          </c:extLst>
        </c:ser>
        <c:ser>
          <c:idx val="17"/>
          <c:order val="17"/>
          <c:tx>
            <c:strRef>
              <c:f>visualization!$S$92:$S$93</c:f>
              <c:strCache>
                <c:ptCount val="1"/>
                <c:pt idx="0">
                  <c:v>Omins</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visualization!$S$94:$S$107</c:f>
              <c:numCache>
                <c:formatCode>General</c:formatCode>
                <c:ptCount val="12"/>
                <c:pt idx="4">
                  <c:v>7144439</c:v>
                </c:pt>
                <c:pt idx="5">
                  <c:v>3211978</c:v>
                </c:pt>
                <c:pt idx="7">
                  <c:v>5786740</c:v>
                </c:pt>
                <c:pt idx="11">
                  <c:v>9729107</c:v>
                </c:pt>
              </c:numCache>
            </c:numRef>
          </c:val>
          <c:extLst>
            <c:ext xmlns:c16="http://schemas.microsoft.com/office/drawing/2014/chart" uri="{C3380CC4-5D6E-409C-BE32-E72D297353CC}">
              <c16:uniqueId val="{00000010-E78D-4852-9551-D825A1AB9F79}"/>
            </c:ext>
          </c:extLst>
        </c:ser>
        <c:ser>
          <c:idx val="18"/>
          <c:order val="18"/>
          <c:tx>
            <c:strRef>
              <c:f>visualization!$T$92:$T$93</c:f>
              <c:strCache>
                <c:ptCount val="1"/>
                <c:pt idx="0">
                  <c:v>Paratus</c:v>
                </c:pt>
              </c:strCache>
            </c:strRef>
          </c:tx>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visualization!$T$94:$T$107</c:f>
              <c:numCache>
                <c:formatCode>General</c:formatCode>
                <c:ptCount val="12"/>
                <c:pt idx="0">
                  <c:v>3032899</c:v>
                </c:pt>
                <c:pt idx="1">
                  <c:v>7787871</c:v>
                </c:pt>
                <c:pt idx="2">
                  <c:v>3307591</c:v>
                </c:pt>
                <c:pt idx="3">
                  <c:v>7788533</c:v>
                </c:pt>
                <c:pt idx="4">
                  <c:v>11893181</c:v>
                </c:pt>
                <c:pt idx="5">
                  <c:v>1174333</c:v>
                </c:pt>
                <c:pt idx="8">
                  <c:v>12477336</c:v>
                </c:pt>
                <c:pt idx="9">
                  <c:v>6329746</c:v>
                </c:pt>
                <c:pt idx="11">
                  <c:v>24855079</c:v>
                </c:pt>
              </c:numCache>
            </c:numRef>
          </c:val>
          <c:extLst>
            <c:ext xmlns:c16="http://schemas.microsoft.com/office/drawing/2014/chart" uri="{C3380CC4-5D6E-409C-BE32-E72D297353CC}">
              <c16:uniqueId val="{00000011-E78D-4852-9551-D825A1AB9F79}"/>
            </c:ext>
          </c:extLst>
        </c:ser>
        <c:ser>
          <c:idx val="19"/>
          <c:order val="19"/>
          <c:tx>
            <c:strRef>
              <c:f>visualization!$U$92:$U$93</c:f>
              <c:strCache>
                <c:ptCount val="1"/>
                <c:pt idx="0">
                  <c:v>Quanti</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visualization!$U$94:$U$107</c:f>
              <c:numCache>
                <c:formatCode>General</c:formatCode>
                <c:ptCount val="12"/>
                <c:pt idx="2">
                  <c:v>14090406</c:v>
                </c:pt>
                <c:pt idx="3">
                  <c:v>5691292</c:v>
                </c:pt>
                <c:pt idx="4">
                  <c:v>25005107</c:v>
                </c:pt>
                <c:pt idx="5">
                  <c:v>17622630</c:v>
                </c:pt>
                <c:pt idx="6">
                  <c:v>66995</c:v>
                </c:pt>
                <c:pt idx="7">
                  <c:v>1315100</c:v>
                </c:pt>
                <c:pt idx="11">
                  <c:v>14734049</c:v>
                </c:pt>
              </c:numCache>
            </c:numRef>
          </c:val>
          <c:extLst>
            <c:ext xmlns:c16="http://schemas.microsoft.com/office/drawing/2014/chart" uri="{C3380CC4-5D6E-409C-BE32-E72D297353CC}">
              <c16:uniqueId val="{00000012-E78D-4852-9551-D825A1AB9F79}"/>
            </c:ext>
          </c:extLst>
        </c:ser>
        <c:ser>
          <c:idx val="20"/>
          <c:order val="20"/>
          <c:tx>
            <c:strRef>
              <c:f>visualization!$V$92:$V$93</c:f>
              <c:strCache>
                <c:ptCount val="1"/>
                <c:pt idx="0">
                  <c:v>Recolo</c:v>
                </c:pt>
              </c:strCache>
            </c:strRef>
          </c:tx>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visualization!$V$94:$V$107</c:f>
              <c:numCache>
                <c:formatCode>General</c:formatCode>
                <c:ptCount val="12"/>
                <c:pt idx="1">
                  <c:v>6798309</c:v>
                </c:pt>
                <c:pt idx="2">
                  <c:v>7750823</c:v>
                </c:pt>
                <c:pt idx="3">
                  <c:v>8089052</c:v>
                </c:pt>
                <c:pt idx="5">
                  <c:v>18910639</c:v>
                </c:pt>
                <c:pt idx="7">
                  <c:v>24330872</c:v>
                </c:pt>
                <c:pt idx="8">
                  <c:v>1264619</c:v>
                </c:pt>
                <c:pt idx="9">
                  <c:v>236607</c:v>
                </c:pt>
                <c:pt idx="11">
                  <c:v>14368644</c:v>
                </c:pt>
              </c:numCache>
            </c:numRef>
          </c:val>
          <c:extLst>
            <c:ext xmlns:c16="http://schemas.microsoft.com/office/drawing/2014/chart" uri="{C3380CC4-5D6E-409C-BE32-E72D297353CC}">
              <c16:uniqueId val="{00000013-E78D-4852-9551-D825A1AB9F79}"/>
            </c:ext>
          </c:extLst>
        </c:ser>
        <c:ser>
          <c:idx val="21"/>
          <c:order val="21"/>
          <c:tx>
            <c:strRef>
              <c:f>visualization!$W$92:$W$93</c:f>
              <c:strCache>
                <c:ptCount val="1"/>
                <c:pt idx="0">
                  <c:v>Sato</c:v>
                </c:pt>
              </c:strCache>
            </c:strRef>
          </c:tx>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visualization!$W$94:$W$107</c:f>
              <c:numCache>
                <c:formatCode>General</c:formatCode>
                <c:ptCount val="12"/>
                <c:pt idx="0">
                  <c:v>8812915</c:v>
                </c:pt>
                <c:pt idx="2">
                  <c:v>10190161</c:v>
                </c:pt>
                <c:pt idx="3">
                  <c:v>20478830</c:v>
                </c:pt>
                <c:pt idx="4">
                  <c:v>7226494</c:v>
                </c:pt>
                <c:pt idx="5">
                  <c:v>9318004</c:v>
                </c:pt>
                <c:pt idx="6">
                  <c:v>2396103</c:v>
                </c:pt>
                <c:pt idx="7">
                  <c:v>6703829</c:v>
                </c:pt>
                <c:pt idx="10">
                  <c:v>648356</c:v>
                </c:pt>
                <c:pt idx="11">
                  <c:v>22955094</c:v>
                </c:pt>
              </c:numCache>
            </c:numRef>
          </c:val>
          <c:extLst>
            <c:ext xmlns:c16="http://schemas.microsoft.com/office/drawing/2014/chart" uri="{C3380CC4-5D6E-409C-BE32-E72D297353CC}">
              <c16:uniqueId val="{00000014-E78D-4852-9551-D825A1AB9F79}"/>
            </c:ext>
          </c:extLst>
        </c:ser>
        <c:ser>
          <c:idx val="22"/>
          <c:order val="22"/>
          <c:tx>
            <c:strRef>
              <c:f>visualization!$X$92:$X$93</c:f>
              <c:strCache>
                <c:ptCount val="1"/>
                <c:pt idx="0">
                  <c:v>Talus</c:v>
                </c:pt>
              </c:strCache>
            </c:strRef>
          </c:tx>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visualization!$X$94:$X$107</c:f>
              <c:numCache>
                <c:formatCode>General</c:formatCode>
                <c:ptCount val="12"/>
                <c:pt idx="0">
                  <c:v>15885551</c:v>
                </c:pt>
                <c:pt idx="1">
                  <c:v>3475768</c:v>
                </c:pt>
                <c:pt idx="2">
                  <c:v>8905440</c:v>
                </c:pt>
                <c:pt idx="3">
                  <c:v>14963842</c:v>
                </c:pt>
                <c:pt idx="4">
                  <c:v>12017600</c:v>
                </c:pt>
                <c:pt idx="5">
                  <c:v>5246904</c:v>
                </c:pt>
                <c:pt idx="6">
                  <c:v>33861099</c:v>
                </c:pt>
                <c:pt idx="7">
                  <c:v>11512034</c:v>
                </c:pt>
                <c:pt idx="8">
                  <c:v>10420204</c:v>
                </c:pt>
                <c:pt idx="9">
                  <c:v>4082052</c:v>
                </c:pt>
                <c:pt idx="10">
                  <c:v>28114819</c:v>
                </c:pt>
                <c:pt idx="11">
                  <c:v>11077214</c:v>
                </c:pt>
              </c:numCache>
            </c:numRef>
          </c:val>
          <c:extLst>
            <c:ext xmlns:c16="http://schemas.microsoft.com/office/drawing/2014/chart" uri="{C3380CC4-5D6E-409C-BE32-E72D297353CC}">
              <c16:uniqueId val="{00000015-E78D-4852-9551-D825A1AB9F79}"/>
            </c:ext>
          </c:extLst>
        </c:ser>
        <c:ser>
          <c:idx val="23"/>
          <c:order val="23"/>
          <c:tx>
            <c:strRef>
              <c:f>visualization!$Y$92:$Y$93</c:f>
              <c:strCache>
                <c:ptCount val="1"/>
                <c:pt idx="0">
                  <c:v>Umbra</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visualization!$Y$94:$Y$107</c:f>
              <c:numCache>
                <c:formatCode>General</c:formatCode>
                <c:ptCount val="12"/>
                <c:pt idx="0">
                  <c:v>3163715</c:v>
                </c:pt>
                <c:pt idx="1">
                  <c:v>4971807</c:v>
                </c:pt>
                <c:pt idx="2">
                  <c:v>4699076</c:v>
                </c:pt>
                <c:pt idx="4">
                  <c:v>11678946</c:v>
                </c:pt>
                <c:pt idx="5">
                  <c:v>16454246</c:v>
                </c:pt>
                <c:pt idx="6">
                  <c:v>6818253</c:v>
                </c:pt>
                <c:pt idx="7">
                  <c:v>9423322</c:v>
                </c:pt>
                <c:pt idx="8">
                  <c:v>9254244</c:v>
                </c:pt>
                <c:pt idx="10">
                  <c:v>3472976</c:v>
                </c:pt>
                <c:pt idx="11">
                  <c:v>20647095</c:v>
                </c:pt>
              </c:numCache>
            </c:numRef>
          </c:val>
          <c:extLst>
            <c:ext xmlns:c16="http://schemas.microsoft.com/office/drawing/2014/chart" uri="{C3380CC4-5D6E-409C-BE32-E72D297353CC}">
              <c16:uniqueId val="{00000016-E78D-4852-9551-D825A1AB9F79}"/>
            </c:ext>
          </c:extLst>
        </c:ser>
        <c:ser>
          <c:idx val="24"/>
          <c:order val="24"/>
          <c:tx>
            <c:strRef>
              <c:f>visualization!$Z$92:$Z$93</c:f>
              <c:strCache>
                <c:ptCount val="1"/>
                <c:pt idx="0">
                  <c:v>Vero</c:v>
                </c:pt>
              </c:strCache>
            </c:strRef>
          </c:tx>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cat>
            <c:multiLvlStrRef>
              <c:f>visualization!$A$94:$A$107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visualization!$Z$94:$Z$107</c:f>
              <c:numCache>
                <c:formatCode>General</c:formatCode>
                <c:ptCount val="12"/>
                <c:pt idx="0">
                  <c:v>1888265</c:v>
                </c:pt>
                <c:pt idx="1">
                  <c:v>2540740</c:v>
                </c:pt>
                <c:pt idx="2">
                  <c:v>7263268</c:v>
                </c:pt>
                <c:pt idx="3">
                  <c:v>7350235</c:v>
                </c:pt>
                <c:pt idx="4">
                  <c:v>15271814</c:v>
                </c:pt>
                <c:pt idx="5">
                  <c:v>4022403</c:v>
                </c:pt>
                <c:pt idx="6">
                  <c:v>7940991</c:v>
                </c:pt>
                <c:pt idx="9">
                  <c:v>6775256</c:v>
                </c:pt>
                <c:pt idx="11">
                  <c:v>33169867</c:v>
                </c:pt>
              </c:numCache>
            </c:numRef>
          </c:val>
          <c:extLst>
            <c:ext xmlns:c16="http://schemas.microsoft.com/office/drawing/2014/chart" uri="{C3380CC4-5D6E-409C-BE32-E72D297353CC}">
              <c16:uniqueId val="{00000017-E78D-4852-9551-D825A1AB9F79}"/>
            </c:ext>
          </c:extLst>
        </c:ser>
        <c:dLbls>
          <c:showLegendKey val="0"/>
          <c:showVal val="0"/>
          <c:showCatName val="0"/>
          <c:showSerName val="0"/>
          <c:showPercent val="0"/>
          <c:showBubbleSize val="0"/>
        </c:dLbls>
        <c:axId val="991755567"/>
        <c:axId val="1133265007"/>
      </c:areaChart>
      <c:catAx>
        <c:axId val="991755567"/>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33265007"/>
        <c:crosses val="autoZero"/>
        <c:auto val="1"/>
        <c:lblAlgn val="ctr"/>
        <c:lblOffset val="100"/>
        <c:noMultiLvlLbl val="0"/>
      </c:catAx>
      <c:valAx>
        <c:axId val="11332650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175556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Project.xlsm]visualization!PivotTable42</c:name>
    <c:fmtId val="4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i="0">
                <a:effectLst/>
              </a:rPr>
              <a:t>Partner-Driven Opportunities Percentage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s>
    <c:plotArea>
      <c:layout/>
      <c:pieChart>
        <c:varyColors val="1"/>
        <c:ser>
          <c:idx val="0"/>
          <c:order val="0"/>
          <c:tx>
            <c:strRef>
              <c:f>visualization!$B$124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68-4117-8DD6-4CDA06D6F2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68-4117-8DD6-4CDA06D6F2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568-4117-8DD6-4CDA06D6F2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568-4117-8DD6-4CDA06D6F2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568-4117-8DD6-4CDA06D6F2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568-4117-8DD6-4CDA06D6F21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568-4117-8DD6-4CDA06D6F21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568-4117-8DD6-4CDA06D6F21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568-4117-8DD6-4CDA06D6F210}"/>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568-4117-8DD6-4CDA06D6F210}"/>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1568-4117-8DD6-4CDA06D6F210}"/>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1568-4117-8DD6-4CDA06D6F210}"/>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1568-4117-8DD6-4CDA06D6F210}"/>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1568-4117-8DD6-4CDA06D6F210}"/>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1568-4117-8DD6-4CDA06D6F210}"/>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1568-4117-8DD6-4CDA06D6F210}"/>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1568-4117-8DD6-4CDA06D6F210}"/>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1568-4117-8DD6-4CDA06D6F210}"/>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1568-4117-8DD6-4CDA06D6F210}"/>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1568-4117-8DD6-4CDA06D6F210}"/>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1568-4117-8DD6-4CDA06D6F210}"/>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1568-4117-8DD6-4CDA06D6F210}"/>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1568-4117-8DD6-4CDA06D6F210}"/>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1568-4117-8DD6-4CDA06D6F210}"/>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1568-4117-8DD6-4CDA06D6F210}"/>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1568-4117-8DD6-4CDA06D6F210}"/>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1568-4117-8DD6-4CDA06D6F210}"/>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1568-4117-8DD6-4CDA06D6F210}"/>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1568-4117-8DD6-4CDA06D6F210}"/>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1568-4117-8DD6-4CDA06D6F210}"/>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1568-4117-8DD6-4CDA06D6F210}"/>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1568-4117-8DD6-4CDA06D6F210}"/>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1568-4117-8DD6-4CDA06D6F210}"/>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1568-4117-8DD6-4CDA06D6F210}"/>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1568-4117-8DD6-4CDA06D6F210}"/>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1568-4117-8DD6-4CDA06D6F210}"/>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1568-4117-8DD6-4CDA06D6F210}"/>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1568-4117-8DD6-4CDA06D6F210}"/>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1568-4117-8DD6-4CDA06D6F210}"/>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1568-4117-8DD6-4CDA06D6F210}"/>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1568-4117-8DD6-4CDA06D6F210}"/>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1568-4117-8DD6-4CDA06D6F210}"/>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1568-4117-8DD6-4CDA06D6F210}"/>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1568-4117-8DD6-4CDA06D6F210}"/>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1568-4117-8DD6-4CDA06D6F210}"/>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1568-4117-8DD6-4CDA06D6F210}"/>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1568-4117-8DD6-4CDA06D6F210}"/>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1568-4117-8DD6-4CDA06D6F210}"/>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1568-4117-8DD6-4CDA06D6F210}"/>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1568-4117-8DD6-4CDA06D6F210}"/>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1568-4117-8DD6-4CDA06D6F210}"/>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1568-4117-8DD6-4CDA06D6F210}"/>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1568-4117-8DD6-4CDA06D6F210}"/>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1568-4117-8DD6-4CDA06D6F210}"/>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1568-4117-8DD6-4CDA06D6F210}"/>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1568-4117-8DD6-4CDA06D6F210}"/>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1568-4117-8DD6-4CDA06D6F210}"/>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1568-4117-8DD6-4CDA06D6F210}"/>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1568-4117-8DD6-4CDA06D6F210}"/>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1568-4117-8DD6-4CDA06D6F210}"/>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1568-4117-8DD6-4CDA06D6F210}"/>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1568-4117-8DD6-4CDA06D6F210}"/>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1568-4117-8DD6-4CDA06D6F210}"/>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1568-4117-8DD6-4CDA06D6F210}"/>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1568-4117-8DD6-4CDA06D6F210}"/>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1568-4117-8DD6-4CDA06D6F210}"/>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1568-4117-8DD6-4CDA06D6F210}"/>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1568-4117-8DD6-4CDA06D6F210}"/>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1568-4117-8DD6-4CDA06D6F210}"/>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1568-4117-8DD6-4CDA06D6F210}"/>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1568-4117-8DD6-4CDA06D6F210}"/>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1568-4117-8DD6-4CDA06D6F210}"/>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1568-4117-8DD6-4CDA06D6F210}"/>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1568-4117-8DD6-4CDA06D6F210}"/>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1568-4117-8DD6-4CDA06D6F210}"/>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1568-4117-8DD6-4CDA06D6F210}"/>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1568-4117-8DD6-4CDA06D6F210}"/>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1568-4117-8DD6-4CDA06D6F210}"/>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1568-4117-8DD6-4CDA06D6F210}"/>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1568-4117-8DD6-4CDA06D6F210}"/>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1568-4117-8DD6-4CDA06D6F210}"/>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1568-4117-8DD6-4CDA06D6F210}"/>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1568-4117-8DD6-4CDA06D6F210}"/>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1568-4117-8DD6-4CDA06D6F210}"/>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1568-4117-8DD6-4CDA06D6F210}"/>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1568-4117-8DD6-4CDA06D6F210}"/>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1568-4117-8DD6-4CDA06D6F210}"/>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1568-4117-8DD6-4CDA06D6F210}"/>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1568-4117-8DD6-4CDA06D6F210}"/>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1568-4117-8DD6-4CDA06D6F210}"/>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1568-4117-8DD6-4CDA06D6F210}"/>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1568-4117-8DD6-4CDA06D6F210}"/>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1568-4117-8DD6-4CDA06D6F210}"/>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1568-4117-8DD6-4CDA06D6F210}"/>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1568-4117-8DD6-4CDA06D6F210}"/>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1568-4117-8DD6-4CDA06D6F210}"/>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1568-4117-8DD6-4CDA06D6F210}"/>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1568-4117-8DD6-4CDA06D6F210}"/>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1568-4117-8DD6-4CDA06D6F210}"/>
              </c:ext>
            </c:extLst>
          </c:dPt>
          <c:cat>
            <c:strRef>
              <c:f>visualization!$A$125:$A$224</c:f>
              <c:strCache>
                <c:ptCount val="99"/>
                <c:pt idx="0">
                  <c:v>Acegreen</c:v>
                </c:pt>
                <c:pt idx="1">
                  <c:v>Bamgreen</c:v>
                </c:pt>
                <c:pt idx="2">
                  <c:v>bamtone</c:v>
                </c:pt>
                <c:pt idx="3">
                  <c:v>Bigcore</c:v>
                </c:pt>
                <c:pt idx="4">
                  <c:v>biglax</c:v>
                </c:pt>
                <c:pt idx="5">
                  <c:v>biotom</c:v>
                </c:pt>
                <c:pt idx="6">
                  <c:v>Canezap</c:v>
                </c:pt>
                <c:pt idx="7">
                  <c:v>Daltdexon</c:v>
                </c:pt>
                <c:pt idx="8">
                  <c:v>Dalttouch</c:v>
                </c:pt>
                <c:pt idx="9">
                  <c:v>Damlane</c:v>
                </c:pt>
                <c:pt idx="10">
                  <c:v>Dantech</c:v>
                </c:pt>
                <c:pt idx="11">
                  <c:v>Dentojob</c:v>
                </c:pt>
                <c:pt idx="12">
                  <c:v>Donuniace</c:v>
                </c:pt>
                <c:pt idx="13">
                  <c:v>Doublestreet</c:v>
                </c:pt>
                <c:pt idx="14">
                  <c:v>Drillelectronics</c:v>
                </c:pt>
                <c:pt idx="15">
                  <c:v>Dripstrip</c:v>
                </c:pt>
                <c:pt idx="16">
                  <c:v>Duo-tech</c:v>
                </c:pt>
                <c:pt idx="17">
                  <c:v>Duotechi</c:v>
                </c:pt>
                <c:pt idx="18">
                  <c:v>fasetone</c:v>
                </c:pt>
                <c:pt idx="19">
                  <c:v>Fincom</c:v>
                </c:pt>
                <c:pt idx="20">
                  <c:v>Fixplus</c:v>
                </c:pt>
                <c:pt idx="21">
                  <c:v>Flexlax</c:v>
                </c:pt>
                <c:pt idx="22">
                  <c:v>Flexzim</c:v>
                </c:pt>
                <c:pt idx="23">
                  <c:v>Free-electronics</c:v>
                </c:pt>
                <c:pt idx="24">
                  <c:v>Funcane</c:v>
                </c:pt>
                <c:pt idx="25">
                  <c:v>Ganjacore</c:v>
                </c:pt>
                <c:pt idx="26">
                  <c:v>Goldenstreet</c:v>
                </c:pt>
                <c:pt idx="27">
                  <c:v>gravedrill</c:v>
                </c:pt>
                <c:pt idx="28">
                  <c:v>Hayit</c:v>
                </c:pt>
                <c:pt idx="29">
                  <c:v>Hotaphex</c:v>
                </c:pt>
                <c:pt idx="30">
                  <c:v>Hotlam</c:v>
                </c:pt>
                <c:pt idx="31">
                  <c:v>Hotlane</c:v>
                </c:pt>
                <c:pt idx="32">
                  <c:v>Hottouch</c:v>
                </c:pt>
                <c:pt idx="33">
                  <c:v>Ice-find</c:v>
                </c:pt>
                <c:pt idx="34">
                  <c:v>ice-lex</c:v>
                </c:pt>
                <c:pt idx="35">
                  <c:v>Indiity</c:v>
                </c:pt>
                <c:pt idx="36">
                  <c:v>Indikaylax</c:v>
                </c:pt>
                <c:pt idx="37">
                  <c:v>Intechi</c:v>
                </c:pt>
                <c:pt idx="38">
                  <c:v>Is-technology</c:v>
                </c:pt>
                <c:pt idx="39">
                  <c:v>Jaytam</c:v>
                </c:pt>
                <c:pt idx="40">
                  <c:v>Jobice</c:v>
                </c:pt>
                <c:pt idx="41">
                  <c:v>Joblamcon</c:v>
                </c:pt>
                <c:pt idx="42">
                  <c:v>kan-dom</c:v>
                </c:pt>
                <c:pt idx="43">
                  <c:v>Kanlam</c:v>
                </c:pt>
                <c:pt idx="44">
                  <c:v>Konkdom</c:v>
                </c:pt>
                <c:pt idx="45">
                  <c:v>Konktom</c:v>
                </c:pt>
                <c:pt idx="46">
                  <c:v>Konzozdax</c:v>
                </c:pt>
                <c:pt idx="47">
                  <c:v>Lamtafan</c:v>
                </c:pt>
                <c:pt idx="48">
                  <c:v>lanequote</c:v>
                </c:pt>
                <c:pt idx="49">
                  <c:v>Mathredex</c:v>
                </c:pt>
                <c:pt idx="50">
                  <c:v>Medfax</c:v>
                </c:pt>
                <c:pt idx="51">
                  <c:v>mediaphase</c:v>
                </c:pt>
                <c:pt idx="52">
                  <c:v>movedex</c:v>
                </c:pt>
                <c:pt idx="53">
                  <c:v>Movestreet</c:v>
                </c:pt>
                <c:pt idx="54">
                  <c:v>Nimdax</c:v>
                </c:pt>
                <c:pt idx="55">
                  <c:v>Operon</c:v>
                </c:pt>
                <c:pt idx="56">
                  <c:v>Overhigh</c:v>
                </c:pt>
                <c:pt idx="57">
                  <c:v>Planethouse</c:v>
                </c:pt>
                <c:pt idx="58">
                  <c:v>plexdax</c:v>
                </c:pt>
                <c:pt idx="59">
                  <c:v>plex-holdings</c:v>
                </c:pt>
                <c:pt idx="60">
                  <c:v>Plexsolfix</c:v>
                </c:pt>
                <c:pt idx="61">
                  <c:v>Plextom</c:v>
                </c:pt>
                <c:pt idx="62">
                  <c:v>Quadsoloace</c:v>
                </c:pt>
                <c:pt idx="63">
                  <c:v>Quadtex</c:v>
                </c:pt>
                <c:pt idx="64">
                  <c:v>Quadzoom</c:v>
                </c:pt>
                <c:pt idx="65">
                  <c:v>Quofase</c:v>
                </c:pt>
                <c:pt idx="66">
                  <c:v>Quo-planet</c:v>
                </c:pt>
                <c:pt idx="67">
                  <c:v>quotechi</c:v>
                </c:pt>
                <c:pt idx="68">
                  <c:v>Quotein</c:v>
                </c:pt>
                <c:pt idx="69">
                  <c:v>Rank-com</c:v>
                </c:pt>
                <c:pt idx="70">
                  <c:v>Redplanet</c:v>
                </c:pt>
                <c:pt idx="71">
                  <c:v>Redunilux</c:v>
                </c:pt>
                <c:pt idx="72">
                  <c:v>ronplex</c:v>
                </c:pt>
                <c:pt idx="73">
                  <c:v>Saltstreet</c:v>
                </c:pt>
                <c:pt idx="74">
                  <c:v>Songreen</c:v>
                </c:pt>
                <c:pt idx="75">
                  <c:v>Sontaxon</c:v>
                </c:pt>
                <c:pt idx="76">
                  <c:v>Stanfan</c:v>
                </c:pt>
                <c:pt idx="77">
                  <c:v>Stimsanlux</c:v>
                </c:pt>
                <c:pt idx="78">
                  <c:v>Strongzone</c:v>
                </c:pt>
                <c:pt idx="79">
                  <c:v>sumdrill</c:v>
                </c:pt>
                <c:pt idx="80">
                  <c:v>Suntaxon</c:v>
                </c:pt>
                <c:pt idx="81">
                  <c:v>Tamhow</c:v>
                </c:pt>
                <c:pt idx="82">
                  <c:v>tamptrax</c:v>
                </c:pt>
                <c:pt idx="83">
                  <c:v>Triohow</c:v>
                </c:pt>
                <c:pt idx="84">
                  <c:v>Trioice</c:v>
                </c:pt>
                <c:pt idx="85">
                  <c:v>Tripplenix</c:v>
                </c:pt>
                <c:pt idx="86">
                  <c:v>Unaquoing</c:v>
                </c:pt>
                <c:pt idx="87">
                  <c:v>Vaiadocon</c:v>
                </c:pt>
                <c:pt idx="88">
                  <c:v>Ventolane</c:v>
                </c:pt>
                <c:pt idx="89">
                  <c:v>Vivastreet</c:v>
                </c:pt>
                <c:pt idx="90">
                  <c:v>Xx-trans</c:v>
                </c:pt>
                <c:pt idx="91">
                  <c:v>Y-anplex</c:v>
                </c:pt>
                <c:pt idx="92">
                  <c:v>Yearhouse</c:v>
                </c:pt>
                <c:pt idx="93">
                  <c:v>Zaamphase</c:v>
                </c:pt>
                <c:pt idx="94">
                  <c:v>Zonronzap</c:v>
                </c:pt>
                <c:pt idx="95">
                  <c:v>zonstrip</c:v>
                </c:pt>
                <c:pt idx="96">
                  <c:v>Zoomtone</c:v>
                </c:pt>
                <c:pt idx="97">
                  <c:v>Zotcare</c:v>
                </c:pt>
                <c:pt idx="98">
                  <c:v>Zummedtech</c:v>
                </c:pt>
              </c:strCache>
            </c:strRef>
          </c:cat>
          <c:val>
            <c:numRef>
              <c:f>visualization!$B$125:$B$224</c:f>
              <c:numCache>
                <c:formatCode>General</c:formatCode>
                <c:ptCount val="99"/>
                <c:pt idx="0">
                  <c:v>2.05761316872428E-3</c:v>
                </c:pt>
                <c:pt idx="1">
                  <c:v>2.05761316872428E-3</c:v>
                </c:pt>
                <c:pt idx="2">
                  <c:v>4.11522633744856E-3</c:v>
                </c:pt>
                <c:pt idx="3">
                  <c:v>2.05761316872428E-3</c:v>
                </c:pt>
                <c:pt idx="4">
                  <c:v>2.05761316872428E-3</c:v>
                </c:pt>
                <c:pt idx="5">
                  <c:v>4.11522633744856E-3</c:v>
                </c:pt>
                <c:pt idx="6">
                  <c:v>8.23045267489712E-3</c:v>
                </c:pt>
                <c:pt idx="7">
                  <c:v>4.11522633744856E-3</c:v>
                </c:pt>
                <c:pt idx="8">
                  <c:v>4.11522633744856E-3</c:v>
                </c:pt>
                <c:pt idx="9">
                  <c:v>4.11522633744856E-3</c:v>
                </c:pt>
                <c:pt idx="10">
                  <c:v>4.11522633744856E-3</c:v>
                </c:pt>
                <c:pt idx="11">
                  <c:v>2.05761316872428E-3</c:v>
                </c:pt>
                <c:pt idx="12">
                  <c:v>2.05761316872428E-3</c:v>
                </c:pt>
                <c:pt idx="13">
                  <c:v>2.05761316872428E-3</c:v>
                </c:pt>
                <c:pt idx="14">
                  <c:v>2.05761316872428E-3</c:v>
                </c:pt>
                <c:pt idx="15">
                  <c:v>2.05761316872428E-3</c:v>
                </c:pt>
                <c:pt idx="16">
                  <c:v>2.05761316872428E-3</c:v>
                </c:pt>
                <c:pt idx="17">
                  <c:v>2.05761316872428E-3</c:v>
                </c:pt>
                <c:pt idx="18">
                  <c:v>4.11522633744856E-3</c:v>
                </c:pt>
                <c:pt idx="19">
                  <c:v>2.05761316872428E-3</c:v>
                </c:pt>
                <c:pt idx="20">
                  <c:v>2.05761316872428E-3</c:v>
                </c:pt>
                <c:pt idx="21">
                  <c:v>2.05761316872428E-3</c:v>
                </c:pt>
                <c:pt idx="22">
                  <c:v>6.17283950617284E-3</c:v>
                </c:pt>
                <c:pt idx="23">
                  <c:v>1.0288065843621401E-2</c:v>
                </c:pt>
                <c:pt idx="24">
                  <c:v>2.05761316872428E-3</c:v>
                </c:pt>
                <c:pt idx="25">
                  <c:v>2.05761316872428E-3</c:v>
                </c:pt>
                <c:pt idx="26">
                  <c:v>2.05761316872428E-3</c:v>
                </c:pt>
                <c:pt idx="27">
                  <c:v>2.05761316872428E-3</c:v>
                </c:pt>
                <c:pt idx="28">
                  <c:v>4.11522633744856E-3</c:v>
                </c:pt>
                <c:pt idx="29">
                  <c:v>2.05761316872428E-3</c:v>
                </c:pt>
                <c:pt idx="30">
                  <c:v>2.05761316872428E-3</c:v>
                </c:pt>
                <c:pt idx="31">
                  <c:v>2.05761316872428E-3</c:v>
                </c:pt>
                <c:pt idx="32">
                  <c:v>2.05761316872428E-3</c:v>
                </c:pt>
                <c:pt idx="33">
                  <c:v>2.05761316872428E-3</c:v>
                </c:pt>
                <c:pt idx="34">
                  <c:v>2.05761316872428E-3</c:v>
                </c:pt>
                <c:pt idx="35">
                  <c:v>2.05761316872428E-3</c:v>
                </c:pt>
                <c:pt idx="36">
                  <c:v>2.05761316872428E-3</c:v>
                </c:pt>
                <c:pt idx="37">
                  <c:v>2.05761316872428E-3</c:v>
                </c:pt>
                <c:pt idx="38">
                  <c:v>1.0288065843621401E-2</c:v>
                </c:pt>
                <c:pt idx="39">
                  <c:v>2.05761316872428E-3</c:v>
                </c:pt>
                <c:pt idx="40">
                  <c:v>2.05761316872428E-3</c:v>
                </c:pt>
                <c:pt idx="41">
                  <c:v>5.7613168724279816E-2</c:v>
                </c:pt>
                <c:pt idx="42">
                  <c:v>4.11522633744856E-3</c:v>
                </c:pt>
                <c:pt idx="43">
                  <c:v>4.11522633744856E-3</c:v>
                </c:pt>
                <c:pt idx="44">
                  <c:v>4.11522633744856E-3</c:v>
                </c:pt>
                <c:pt idx="45">
                  <c:v>4.11522633744856E-3</c:v>
                </c:pt>
                <c:pt idx="46">
                  <c:v>4.11522633744856E-3</c:v>
                </c:pt>
                <c:pt idx="47">
                  <c:v>2.05761316872428E-3</c:v>
                </c:pt>
                <c:pt idx="48">
                  <c:v>2.05761316872428E-3</c:v>
                </c:pt>
                <c:pt idx="49">
                  <c:v>2.05761316872428E-3</c:v>
                </c:pt>
                <c:pt idx="50">
                  <c:v>6.17283950617284E-3</c:v>
                </c:pt>
                <c:pt idx="51">
                  <c:v>2.05761316872428E-3</c:v>
                </c:pt>
                <c:pt idx="52">
                  <c:v>2.05761316872428E-3</c:v>
                </c:pt>
                <c:pt idx="53">
                  <c:v>2.05761316872428E-3</c:v>
                </c:pt>
                <c:pt idx="54">
                  <c:v>2.05761316872428E-3</c:v>
                </c:pt>
                <c:pt idx="55">
                  <c:v>8.23045267489712E-3</c:v>
                </c:pt>
                <c:pt idx="56">
                  <c:v>2.05761316872428E-3</c:v>
                </c:pt>
                <c:pt idx="57">
                  <c:v>2.05761316872428E-3</c:v>
                </c:pt>
                <c:pt idx="58">
                  <c:v>2.05761316872428E-3</c:v>
                </c:pt>
                <c:pt idx="59">
                  <c:v>2.05761316872428E-3</c:v>
                </c:pt>
                <c:pt idx="60">
                  <c:v>4.11522633744856E-3</c:v>
                </c:pt>
                <c:pt idx="61">
                  <c:v>2.05761316872428E-3</c:v>
                </c:pt>
                <c:pt idx="62">
                  <c:v>4.11522633744856E-3</c:v>
                </c:pt>
                <c:pt idx="63">
                  <c:v>1.0288065843621401E-2</c:v>
                </c:pt>
                <c:pt idx="64">
                  <c:v>2.05761316872428E-3</c:v>
                </c:pt>
                <c:pt idx="65">
                  <c:v>4.11522633744856E-3</c:v>
                </c:pt>
                <c:pt idx="66">
                  <c:v>4.11522633744856E-3</c:v>
                </c:pt>
                <c:pt idx="67">
                  <c:v>6.17283950617284E-3</c:v>
                </c:pt>
                <c:pt idx="68">
                  <c:v>6.17283950617284E-3</c:v>
                </c:pt>
                <c:pt idx="69">
                  <c:v>4.11522633744856E-3</c:v>
                </c:pt>
                <c:pt idx="70">
                  <c:v>2.05761316872428E-3</c:v>
                </c:pt>
                <c:pt idx="71">
                  <c:v>2.05761316872428E-3</c:v>
                </c:pt>
                <c:pt idx="72">
                  <c:v>2.05761316872428E-3</c:v>
                </c:pt>
                <c:pt idx="73">
                  <c:v>2.05761316872428E-3</c:v>
                </c:pt>
                <c:pt idx="74">
                  <c:v>4.11522633744856E-3</c:v>
                </c:pt>
                <c:pt idx="75">
                  <c:v>0.18518518518518501</c:v>
                </c:pt>
                <c:pt idx="76">
                  <c:v>2.05761316872428E-3</c:v>
                </c:pt>
                <c:pt idx="77">
                  <c:v>4.11522633744856E-3</c:v>
                </c:pt>
                <c:pt idx="78">
                  <c:v>2.05761316872428E-3</c:v>
                </c:pt>
                <c:pt idx="79">
                  <c:v>2.05761316872428E-3</c:v>
                </c:pt>
                <c:pt idx="80">
                  <c:v>4.11522633744856E-3</c:v>
                </c:pt>
                <c:pt idx="81">
                  <c:v>2.05761316872428E-3</c:v>
                </c:pt>
                <c:pt idx="82">
                  <c:v>2.05761316872428E-3</c:v>
                </c:pt>
                <c:pt idx="83">
                  <c:v>2.05761316872428E-3</c:v>
                </c:pt>
                <c:pt idx="84">
                  <c:v>6.17283950617284E-3</c:v>
                </c:pt>
                <c:pt idx="85">
                  <c:v>2.05761316872428E-3</c:v>
                </c:pt>
                <c:pt idx="86">
                  <c:v>2.05761316872428E-3</c:v>
                </c:pt>
                <c:pt idx="87">
                  <c:v>2.05761316872428E-3</c:v>
                </c:pt>
                <c:pt idx="88">
                  <c:v>8.23045267489712E-3</c:v>
                </c:pt>
                <c:pt idx="89">
                  <c:v>4.11522633744856E-3</c:v>
                </c:pt>
                <c:pt idx="90">
                  <c:v>2.05761316872428E-3</c:v>
                </c:pt>
                <c:pt idx="91">
                  <c:v>2.05761316872428E-3</c:v>
                </c:pt>
                <c:pt idx="92">
                  <c:v>2.05761316872428E-3</c:v>
                </c:pt>
                <c:pt idx="93">
                  <c:v>2.05761316872428E-3</c:v>
                </c:pt>
                <c:pt idx="94">
                  <c:v>6.17283950617284E-3</c:v>
                </c:pt>
                <c:pt idx="95">
                  <c:v>2.05761316872428E-3</c:v>
                </c:pt>
                <c:pt idx="96">
                  <c:v>2.05761316872428E-3</c:v>
                </c:pt>
                <c:pt idx="97">
                  <c:v>2.05761316872428E-3</c:v>
                </c:pt>
                <c:pt idx="98">
                  <c:v>2.05761316872428E-3</c:v>
                </c:pt>
              </c:numCache>
            </c:numRef>
          </c:val>
          <c:extLst>
            <c:ext xmlns:c16="http://schemas.microsoft.com/office/drawing/2014/chart" uri="{C3380CC4-5D6E-409C-BE32-E72D297353CC}">
              <c16:uniqueId val="{00000000-B35B-4467-A37F-34ECA06C99C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Project.xlsm]visualization!PivotTable44</c:name>
    <c:fmtId val="18"/>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i="0">
                <a:effectLst/>
              </a:rPr>
              <a:t>Opportunities Count by Size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visualization!$B$256</c:f>
              <c:strCache>
                <c:ptCount val="1"/>
                <c:pt idx="0">
                  <c:v>Total</c:v>
                </c:pt>
              </c:strCache>
            </c:strRef>
          </c:tx>
          <c:spPr>
            <a:solidFill>
              <a:schemeClr val="accent1"/>
            </a:solidFill>
            <a:ln>
              <a:noFill/>
            </a:ln>
            <a:effectLst/>
          </c:spPr>
          <c:invertIfNegative val="0"/>
          <c:cat>
            <c:strRef>
              <c:f>visualization!$A$257:$A$260</c:f>
              <c:strCache>
                <c:ptCount val="3"/>
                <c:pt idx="0">
                  <c:v>Large</c:v>
                </c:pt>
                <c:pt idx="1">
                  <c:v>Medium</c:v>
                </c:pt>
                <c:pt idx="2">
                  <c:v>Small</c:v>
                </c:pt>
              </c:strCache>
            </c:strRef>
          </c:cat>
          <c:val>
            <c:numRef>
              <c:f>visualization!$B$257:$B$260</c:f>
              <c:numCache>
                <c:formatCode>General</c:formatCode>
                <c:ptCount val="3"/>
                <c:pt idx="0">
                  <c:v>162</c:v>
                </c:pt>
                <c:pt idx="1">
                  <c:v>161</c:v>
                </c:pt>
                <c:pt idx="2">
                  <c:v>163</c:v>
                </c:pt>
              </c:numCache>
            </c:numRef>
          </c:val>
          <c:extLst>
            <c:ext xmlns:c16="http://schemas.microsoft.com/office/drawing/2014/chart" uri="{C3380CC4-5D6E-409C-BE32-E72D297353CC}">
              <c16:uniqueId val="{00000000-6E5B-4AAD-8B75-9C760C523F58}"/>
            </c:ext>
          </c:extLst>
        </c:ser>
        <c:dLbls>
          <c:showLegendKey val="0"/>
          <c:showVal val="0"/>
          <c:showCatName val="0"/>
          <c:showSerName val="0"/>
          <c:showPercent val="0"/>
          <c:showBubbleSize val="0"/>
        </c:dLbls>
        <c:gapWidth val="182"/>
        <c:axId val="850417887"/>
        <c:axId val="1489635967"/>
      </c:barChart>
      <c:catAx>
        <c:axId val="850417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9635967"/>
        <c:crosses val="autoZero"/>
        <c:auto val="1"/>
        <c:lblAlgn val="ctr"/>
        <c:lblOffset val="100"/>
        <c:noMultiLvlLbl val="0"/>
      </c:catAx>
      <c:valAx>
        <c:axId val="14896359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417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Project.xlsm]visualization!PivotTable5</c:name>
    <c:fmtId val="3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i="0">
                <a:effectLst/>
              </a:rPr>
              <a:t>Revenue by Sales Stage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visualization!$B$279</c:f>
              <c:strCache>
                <c:ptCount val="1"/>
                <c:pt idx="0">
                  <c:v>Total</c:v>
                </c:pt>
              </c:strCache>
            </c:strRef>
          </c:tx>
          <c:spPr>
            <a:solidFill>
              <a:schemeClr val="accent1"/>
            </a:solidFill>
            <a:ln>
              <a:noFill/>
            </a:ln>
            <a:effectLst/>
          </c:spPr>
          <c:invertIfNegative val="0"/>
          <c:cat>
            <c:strRef>
              <c:f>visualization!$A$280:$A$285</c:f>
              <c:strCache>
                <c:ptCount val="5"/>
                <c:pt idx="0">
                  <c:v>Finalize</c:v>
                </c:pt>
                <c:pt idx="1">
                  <c:v>Lead</c:v>
                </c:pt>
                <c:pt idx="2">
                  <c:v>Proposal</c:v>
                </c:pt>
                <c:pt idx="3">
                  <c:v>Qualify</c:v>
                </c:pt>
                <c:pt idx="4">
                  <c:v>Solution</c:v>
                </c:pt>
              </c:strCache>
            </c:strRef>
          </c:cat>
          <c:val>
            <c:numRef>
              <c:f>visualization!$B$280:$B$285</c:f>
              <c:numCache>
                <c:formatCode>General</c:formatCode>
                <c:ptCount val="5"/>
                <c:pt idx="0">
                  <c:v>60139889</c:v>
                </c:pt>
                <c:pt idx="1">
                  <c:v>123566896</c:v>
                </c:pt>
                <c:pt idx="2">
                  <c:v>89835877</c:v>
                </c:pt>
                <c:pt idx="3">
                  <c:v>71969997</c:v>
                </c:pt>
                <c:pt idx="4">
                  <c:v>115608240</c:v>
                </c:pt>
              </c:numCache>
            </c:numRef>
          </c:val>
          <c:extLst>
            <c:ext xmlns:c16="http://schemas.microsoft.com/office/drawing/2014/chart" uri="{C3380CC4-5D6E-409C-BE32-E72D297353CC}">
              <c16:uniqueId val="{00000000-28DA-4FEE-AE66-7EDCFFD59348}"/>
            </c:ext>
          </c:extLst>
        </c:ser>
        <c:dLbls>
          <c:showLegendKey val="0"/>
          <c:showVal val="0"/>
          <c:showCatName val="0"/>
          <c:showSerName val="0"/>
          <c:showPercent val="0"/>
          <c:showBubbleSize val="0"/>
        </c:dLbls>
        <c:gapWidth val="219"/>
        <c:overlap val="-27"/>
        <c:axId val="963608319"/>
        <c:axId val="933697039"/>
      </c:barChart>
      <c:catAx>
        <c:axId val="963608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697039"/>
        <c:crosses val="autoZero"/>
        <c:auto val="1"/>
        <c:lblAlgn val="ctr"/>
        <c:lblOffset val="100"/>
        <c:noMultiLvlLbl val="0"/>
      </c:catAx>
      <c:valAx>
        <c:axId val="933697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08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Project.xlsm]visualization!PivotTable8</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i="0">
                <a:effectLst/>
              </a:rPr>
              <a:t>Average Opportunity Duration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visualization!$B$307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visualization!$A$308:$A$321</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2015</c:v>
                  </c:pt>
                </c:lvl>
              </c:multiLvlStrCache>
            </c:multiLvlStrRef>
          </c:cat>
          <c:val>
            <c:numRef>
              <c:f>visualization!$B$308:$B$321</c:f>
              <c:numCache>
                <c:formatCode>General</c:formatCode>
                <c:ptCount val="12"/>
                <c:pt idx="0">
                  <c:v>375.67741935483872</c:v>
                </c:pt>
                <c:pt idx="1">
                  <c:v>390.03225806451616</c:v>
                </c:pt>
                <c:pt idx="2">
                  <c:v>403.84090909090907</c:v>
                </c:pt>
                <c:pt idx="3">
                  <c:v>423.5</c:v>
                </c:pt>
                <c:pt idx="4">
                  <c:v>436.60344827586209</c:v>
                </c:pt>
                <c:pt idx="5">
                  <c:v>449.37349397590361</c:v>
                </c:pt>
                <c:pt idx="6">
                  <c:v>481.05882352941177</c:v>
                </c:pt>
                <c:pt idx="7">
                  <c:v>471.63636363636363</c:v>
                </c:pt>
                <c:pt idx="8">
                  <c:v>515.54166666666663</c:v>
                </c:pt>
                <c:pt idx="9">
                  <c:v>477.72727272727275</c:v>
                </c:pt>
                <c:pt idx="10">
                  <c:v>526.04166666666663</c:v>
                </c:pt>
                <c:pt idx="11">
                  <c:v>526.94202898550725</c:v>
                </c:pt>
              </c:numCache>
            </c:numRef>
          </c:val>
          <c:smooth val="0"/>
          <c:extLst>
            <c:ext xmlns:c16="http://schemas.microsoft.com/office/drawing/2014/chart" uri="{C3380CC4-5D6E-409C-BE32-E72D297353CC}">
              <c16:uniqueId val="{00000000-6719-412D-A2D4-5DDD6C2FFBFC}"/>
            </c:ext>
          </c:extLst>
        </c:ser>
        <c:dLbls>
          <c:showLegendKey val="0"/>
          <c:showVal val="0"/>
          <c:showCatName val="0"/>
          <c:showSerName val="0"/>
          <c:showPercent val="0"/>
          <c:showBubbleSize val="0"/>
        </c:dLbls>
        <c:marker val="1"/>
        <c:smooth val="0"/>
        <c:axId val="963606879"/>
        <c:axId val="933634047"/>
      </c:lineChart>
      <c:catAx>
        <c:axId val="963606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634047"/>
        <c:crosses val="autoZero"/>
        <c:auto val="1"/>
        <c:lblAlgn val="ctr"/>
        <c:lblOffset val="100"/>
        <c:noMultiLvlLbl val="0"/>
      </c:catAx>
      <c:valAx>
        <c:axId val="933634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06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doughnutChart>
        <c:varyColors val="1"/>
        <c:ser>
          <c:idx val="0"/>
          <c:order val="0"/>
          <c:tx>
            <c:strRef>
              <c:f>visualization!$H$291</c:f>
              <c:strCache>
                <c:ptCount val="1"/>
                <c:pt idx="0">
                  <c:v>Conversion Rates between Sales Stages</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4C8-4856-8066-0C67D1289F2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4C8-4856-8066-0C67D1289F2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4C8-4856-8066-0C67D1289F2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4C8-4856-8066-0C67D1289F2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4C8-4856-8066-0C67D1289F2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visualization!$G$292:$G$296</c:f>
              <c:strCache>
                <c:ptCount val="5"/>
                <c:pt idx="0">
                  <c:v>Finalize</c:v>
                </c:pt>
                <c:pt idx="1">
                  <c:v>Lead</c:v>
                </c:pt>
                <c:pt idx="2">
                  <c:v>Proposal</c:v>
                </c:pt>
                <c:pt idx="3">
                  <c:v>Qualify</c:v>
                </c:pt>
                <c:pt idx="4">
                  <c:v>Solution</c:v>
                </c:pt>
              </c:strCache>
            </c:strRef>
          </c:cat>
          <c:val>
            <c:numRef>
              <c:f>visualization!$H$292:$H$296</c:f>
              <c:numCache>
                <c:formatCode>General</c:formatCode>
                <c:ptCount val="5"/>
                <c:pt idx="0">
                  <c:v>0</c:v>
                </c:pt>
                <c:pt idx="1">
                  <c:v>19.071428571428573</c:v>
                </c:pt>
                <c:pt idx="2">
                  <c:v>0.13857677902621723</c:v>
                </c:pt>
                <c:pt idx="3">
                  <c:v>2.5405405405405403</c:v>
                </c:pt>
                <c:pt idx="4">
                  <c:v>0.78723404255319152</c:v>
                </c:pt>
              </c:numCache>
            </c:numRef>
          </c:val>
          <c:extLst>
            <c:ext xmlns:c16="http://schemas.microsoft.com/office/drawing/2014/chart" uri="{C3380CC4-5D6E-409C-BE32-E72D297353CC}">
              <c16:uniqueId val="{0000000A-44C8-4856-8066-0C67D1289F2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Project.xlsm]visualization!PivotTable41</c:name>
    <c:fmtId val="8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visualization!$B$231:$B$232</c:f>
              <c:strCache>
                <c:ptCount val="1"/>
                <c:pt idx="0">
                  <c:v>Acegreen</c:v>
                </c:pt>
              </c:strCache>
            </c:strRef>
          </c:tx>
          <c:spPr>
            <a:solidFill>
              <a:schemeClr val="accent1"/>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visualization!$B$233:$B$245</c:f>
              <c:numCache>
                <c:formatCode>General</c:formatCode>
                <c:ptCount val="12"/>
                <c:pt idx="0">
                  <c:v>0</c:v>
                </c:pt>
                <c:pt idx="1">
                  <c:v>0</c:v>
                </c:pt>
                <c:pt idx="2">
                  <c:v>0</c:v>
                </c:pt>
                <c:pt idx="3">
                  <c:v>0</c:v>
                </c:pt>
                <c:pt idx="4">
                  <c:v>0</c:v>
                </c:pt>
                <c:pt idx="5">
                  <c:v>1.2899610520580634E-3</c:v>
                </c:pt>
                <c:pt idx="6">
                  <c:v>0</c:v>
                </c:pt>
                <c:pt idx="7">
                  <c:v>0</c:v>
                </c:pt>
                <c:pt idx="8">
                  <c:v>0</c:v>
                </c:pt>
                <c:pt idx="9">
                  <c:v>0</c:v>
                </c:pt>
                <c:pt idx="10">
                  <c:v>0</c:v>
                </c:pt>
                <c:pt idx="11">
                  <c:v>0</c:v>
                </c:pt>
              </c:numCache>
            </c:numRef>
          </c:val>
          <c:extLst>
            <c:ext xmlns:c16="http://schemas.microsoft.com/office/drawing/2014/chart" uri="{C3380CC4-5D6E-409C-BE32-E72D297353CC}">
              <c16:uniqueId val="{00000000-9314-404F-A7AF-D4F7A56281BA}"/>
            </c:ext>
          </c:extLst>
        </c:ser>
        <c:ser>
          <c:idx val="1"/>
          <c:order val="1"/>
          <c:tx>
            <c:strRef>
              <c:f>visualization!$C$231:$C$232</c:f>
              <c:strCache>
                <c:ptCount val="1"/>
                <c:pt idx="0">
                  <c:v>Bamgreen</c:v>
                </c:pt>
              </c:strCache>
            </c:strRef>
          </c:tx>
          <c:spPr>
            <a:solidFill>
              <a:schemeClr val="accent2"/>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visualization!$C$233:$C$245</c:f>
              <c:numCache>
                <c:formatCode>General</c:formatCode>
                <c:ptCount val="12"/>
                <c:pt idx="0">
                  <c:v>0</c:v>
                </c:pt>
                <c:pt idx="1">
                  <c:v>0</c:v>
                </c:pt>
                <c:pt idx="2">
                  <c:v>0</c:v>
                </c:pt>
                <c:pt idx="3">
                  <c:v>0</c:v>
                </c:pt>
                <c:pt idx="4">
                  <c:v>0</c:v>
                </c:pt>
                <c:pt idx="5">
                  <c:v>2.4512660398851279E-3</c:v>
                </c:pt>
                <c:pt idx="6">
                  <c:v>0</c:v>
                </c:pt>
                <c:pt idx="7">
                  <c:v>0</c:v>
                </c:pt>
                <c:pt idx="8">
                  <c:v>0</c:v>
                </c:pt>
                <c:pt idx="9">
                  <c:v>0</c:v>
                </c:pt>
                <c:pt idx="10">
                  <c:v>0</c:v>
                </c:pt>
                <c:pt idx="11">
                  <c:v>0</c:v>
                </c:pt>
              </c:numCache>
            </c:numRef>
          </c:val>
          <c:extLst>
            <c:ext xmlns:c16="http://schemas.microsoft.com/office/drawing/2014/chart" uri="{C3380CC4-5D6E-409C-BE32-E72D297353CC}">
              <c16:uniqueId val="{00000000-BCB6-4B08-87F5-548473FBF80D}"/>
            </c:ext>
          </c:extLst>
        </c:ser>
        <c:ser>
          <c:idx val="2"/>
          <c:order val="2"/>
          <c:tx>
            <c:strRef>
              <c:f>visualization!$D$231:$D$232</c:f>
              <c:strCache>
                <c:ptCount val="1"/>
                <c:pt idx="0">
                  <c:v>bamtone</c:v>
                </c:pt>
              </c:strCache>
            </c:strRef>
          </c:tx>
          <c:spPr>
            <a:solidFill>
              <a:schemeClr val="accent3"/>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visualization!$D$233:$D$245</c:f>
              <c:numCache>
                <c:formatCode>General</c:formatCode>
                <c:ptCount val="12"/>
                <c:pt idx="0">
                  <c:v>0</c:v>
                </c:pt>
                <c:pt idx="1">
                  <c:v>0</c:v>
                </c:pt>
                <c:pt idx="2">
                  <c:v>0</c:v>
                </c:pt>
                <c:pt idx="3">
                  <c:v>0</c:v>
                </c:pt>
                <c:pt idx="4">
                  <c:v>2.1210359411621463E-3</c:v>
                </c:pt>
                <c:pt idx="5">
                  <c:v>0</c:v>
                </c:pt>
                <c:pt idx="6">
                  <c:v>0</c:v>
                </c:pt>
                <c:pt idx="7">
                  <c:v>0</c:v>
                </c:pt>
                <c:pt idx="8">
                  <c:v>0</c:v>
                </c:pt>
                <c:pt idx="9">
                  <c:v>0</c:v>
                </c:pt>
                <c:pt idx="10">
                  <c:v>0</c:v>
                </c:pt>
                <c:pt idx="11">
                  <c:v>3.4082384975572317E-4</c:v>
                </c:pt>
              </c:numCache>
            </c:numRef>
          </c:val>
          <c:extLst>
            <c:ext xmlns:c16="http://schemas.microsoft.com/office/drawing/2014/chart" uri="{C3380CC4-5D6E-409C-BE32-E72D297353CC}">
              <c16:uniqueId val="{00000145-BCB6-4B08-87F5-548473FBF80D}"/>
            </c:ext>
          </c:extLst>
        </c:ser>
        <c:ser>
          <c:idx val="3"/>
          <c:order val="3"/>
          <c:tx>
            <c:strRef>
              <c:f>visualization!$E$231:$E$232</c:f>
              <c:strCache>
                <c:ptCount val="1"/>
                <c:pt idx="0">
                  <c:v>Bigcore</c:v>
                </c:pt>
              </c:strCache>
            </c:strRef>
          </c:tx>
          <c:spPr>
            <a:solidFill>
              <a:schemeClr val="accent4"/>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visualization!$E$233:$E$245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9.3991836184375589E-4</c:v>
                </c:pt>
              </c:numCache>
            </c:numRef>
          </c:val>
          <c:extLst>
            <c:ext xmlns:c16="http://schemas.microsoft.com/office/drawing/2014/chart" uri="{C3380CC4-5D6E-409C-BE32-E72D297353CC}">
              <c16:uniqueId val="{00000146-BCB6-4B08-87F5-548473FBF80D}"/>
            </c:ext>
          </c:extLst>
        </c:ser>
        <c:ser>
          <c:idx val="4"/>
          <c:order val="4"/>
          <c:tx>
            <c:strRef>
              <c:f>visualization!$F$231:$F$232</c:f>
              <c:strCache>
                <c:ptCount val="1"/>
                <c:pt idx="0">
                  <c:v>biglax</c:v>
                </c:pt>
              </c:strCache>
            </c:strRef>
          </c:tx>
          <c:spPr>
            <a:solidFill>
              <a:schemeClr val="accent5"/>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visualization!$F$233:$F$245</c:f>
              <c:numCache>
                <c:formatCode>General</c:formatCode>
                <c:ptCount val="12"/>
                <c:pt idx="0">
                  <c:v>0</c:v>
                </c:pt>
                <c:pt idx="1">
                  <c:v>0</c:v>
                </c:pt>
                <c:pt idx="2">
                  <c:v>0</c:v>
                </c:pt>
                <c:pt idx="3">
                  <c:v>0</c:v>
                </c:pt>
                <c:pt idx="4">
                  <c:v>0</c:v>
                </c:pt>
                <c:pt idx="5">
                  <c:v>0</c:v>
                </c:pt>
                <c:pt idx="6">
                  <c:v>4.3058555886446607E-3</c:v>
                </c:pt>
                <c:pt idx="7">
                  <c:v>0</c:v>
                </c:pt>
                <c:pt idx="8">
                  <c:v>0</c:v>
                </c:pt>
                <c:pt idx="9">
                  <c:v>0</c:v>
                </c:pt>
                <c:pt idx="10">
                  <c:v>0</c:v>
                </c:pt>
                <c:pt idx="11">
                  <c:v>0</c:v>
                </c:pt>
              </c:numCache>
            </c:numRef>
          </c:val>
          <c:extLst>
            <c:ext xmlns:c16="http://schemas.microsoft.com/office/drawing/2014/chart" uri="{C3380CC4-5D6E-409C-BE32-E72D297353CC}">
              <c16:uniqueId val="{00000147-BCB6-4B08-87F5-548473FBF80D}"/>
            </c:ext>
          </c:extLst>
        </c:ser>
        <c:ser>
          <c:idx val="5"/>
          <c:order val="5"/>
          <c:tx>
            <c:strRef>
              <c:f>visualization!$G$231:$G$232</c:f>
              <c:strCache>
                <c:ptCount val="1"/>
                <c:pt idx="0">
                  <c:v>biotom</c:v>
                </c:pt>
              </c:strCache>
            </c:strRef>
          </c:tx>
          <c:spPr>
            <a:solidFill>
              <a:schemeClr val="accent6"/>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visualization!$G$233:$G$245</c:f>
              <c:numCache>
                <c:formatCode>General</c:formatCode>
                <c:ptCount val="12"/>
                <c:pt idx="0">
                  <c:v>2.6968567304081355E-3</c:v>
                </c:pt>
                <c:pt idx="1">
                  <c:v>2.8338750267747027E-3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5AF-419B-8360-F3658EC65968}"/>
            </c:ext>
          </c:extLst>
        </c:ser>
        <c:ser>
          <c:idx val="6"/>
          <c:order val="6"/>
          <c:tx>
            <c:strRef>
              <c:f>visualization!$H$231:$H$232</c:f>
              <c:strCache>
                <c:ptCount val="1"/>
                <c:pt idx="0">
                  <c:v>Canezap</c:v>
                </c:pt>
              </c:strCache>
            </c:strRef>
          </c:tx>
          <c:spPr>
            <a:solidFill>
              <a:schemeClr val="accent1">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visualization!$H$233:$H$245</c:f>
              <c:numCache>
                <c:formatCode>General</c:formatCode>
                <c:ptCount val="12"/>
                <c:pt idx="0">
                  <c:v>0</c:v>
                </c:pt>
                <c:pt idx="1">
                  <c:v>0</c:v>
                </c:pt>
                <c:pt idx="2">
                  <c:v>0</c:v>
                </c:pt>
                <c:pt idx="3">
                  <c:v>1.6585780467954891E-3</c:v>
                </c:pt>
                <c:pt idx="4">
                  <c:v>0</c:v>
                </c:pt>
                <c:pt idx="5">
                  <c:v>0</c:v>
                </c:pt>
                <c:pt idx="6">
                  <c:v>0</c:v>
                </c:pt>
                <c:pt idx="7">
                  <c:v>0</c:v>
                </c:pt>
                <c:pt idx="8">
                  <c:v>5.8038141533029927E-4</c:v>
                </c:pt>
                <c:pt idx="9">
                  <c:v>0</c:v>
                </c:pt>
                <c:pt idx="10">
                  <c:v>2.0107134636723548E-3</c:v>
                </c:pt>
                <c:pt idx="11">
                  <c:v>7.0273761328696574E-4</c:v>
                </c:pt>
              </c:numCache>
            </c:numRef>
          </c:val>
          <c:extLst>
            <c:ext xmlns:c16="http://schemas.microsoft.com/office/drawing/2014/chart" uri="{C3380CC4-5D6E-409C-BE32-E72D297353CC}">
              <c16:uniqueId val="{00000001-C5AF-419B-8360-F3658EC65968}"/>
            </c:ext>
          </c:extLst>
        </c:ser>
        <c:ser>
          <c:idx val="7"/>
          <c:order val="7"/>
          <c:tx>
            <c:strRef>
              <c:f>visualization!$I$231:$I$232</c:f>
              <c:strCache>
                <c:ptCount val="1"/>
                <c:pt idx="0">
                  <c:v>Daltdexon</c:v>
                </c:pt>
              </c:strCache>
            </c:strRef>
          </c:tx>
          <c:spPr>
            <a:solidFill>
              <a:schemeClr val="accent2">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visualization!$I$233:$I$245</c:f>
              <c:numCache>
                <c:formatCode>General</c:formatCode>
                <c:ptCount val="12"/>
                <c:pt idx="0">
                  <c:v>0</c:v>
                </c:pt>
                <c:pt idx="1">
                  <c:v>0</c:v>
                </c:pt>
                <c:pt idx="2">
                  <c:v>2.7156435605405079E-3</c:v>
                </c:pt>
                <c:pt idx="3">
                  <c:v>0</c:v>
                </c:pt>
                <c:pt idx="4">
                  <c:v>4.1041297501460677E-5</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C5AF-419B-8360-F3658EC65968}"/>
            </c:ext>
          </c:extLst>
        </c:ser>
        <c:ser>
          <c:idx val="8"/>
          <c:order val="8"/>
          <c:tx>
            <c:strRef>
              <c:f>visualization!$J$231:$J$232</c:f>
              <c:strCache>
                <c:ptCount val="1"/>
                <c:pt idx="0">
                  <c:v>Dalttouch</c:v>
                </c:pt>
              </c:strCache>
            </c:strRef>
          </c:tx>
          <c:spPr>
            <a:solidFill>
              <a:schemeClr val="accent3">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visualization!$J$233:$J$245</c:f>
              <c:numCache>
                <c:formatCode>General</c:formatCode>
                <c:ptCount val="12"/>
                <c:pt idx="0">
                  <c:v>0</c:v>
                </c:pt>
                <c:pt idx="1">
                  <c:v>0</c:v>
                </c:pt>
                <c:pt idx="2">
                  <c:v>0</c:v>
                </c:pt>
                <c:pt idx="3">
                  <c:v>0</c:v>
                </c:pt>
                <c:pt idx="4">
                  <c:v>0</c:v>
                </c:pt>
                <c:pt idx="5">
                  <c:v>0</c:v>
                </c:pt>
                <c:pt idx="6">
                  <c:v>3.8587819460336368E-3</c:v>
                </c:pt>
                <c:pt idx="7">
                  <c:v>0</c:v>
                </c:pt>
                <c:pt idx="8">
                  <c:v>0</c:v>
                </c:pt>
                <c:pt idx="9">
                  <c:v>0</c:v>
                </c:pt>
                <c:pt idx="10">
                  <c:v>0</c:v>
                </c:pt>
                <c:pt idx="11">
                  <c:v>0</c:v>
                </c:pt>
              </c:numCache>
            </c:numRef>
          </c:val>
          <c:extLst>
            <c:ext xmlns:c16="http://schemas.microsoft.com/office/drawing/2014/chart" uri="{C3380CC4-5D6E-409C-BE32-E72D297353CC}">
              <c16:uniqueId val="{00000003-C5AF-419B-8360-F3658EC65968}"/>
            </c:ext>
          </c:extLst>
        </c:ser>
        <c:ser>
          <c:idx val="9"/>
          <c:order val="9"/>
          <c:tx>
            <c:strRef>
              <c:f>visualization!$K$231:$K$232</c:f>
              <c:strCache>
                <c:ptCount val="1"/>
                <c:pt idx="0">
                  <c:v>Damlane</c:v>
                </c:pt>
              </c:strCache>
            </c:strRef>
          </c:tx>
          <c:spPr>
            <a:solidFill>
              <a:schemeClr val="accent4">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visualization!$K$233:$K$245</c:f>
              <c:numCache>
                <c:formatCode>General</c:formatCode>
                <c:ptCount val="12"/>
                <c:pt idx="0">
                  <c:v>0</c:v>
                </c:pt>
                <c:pt idx="1">
                  <c:v>0</c:v>
                </c:pt>
                <c:pt idx="2">
                  <c:v>0</c:v>
                </c:pt>
                <c:pt idx="3">
                  <c:v>0</c:v>
                </c:pt>
                <c:pt idx="4">
                  <c:v>0</c:v>
                </c:pt>
                <c:pt idx="5">
                  <c:v>0</c:v>
                </c:pt>
                <c:pt idx="6">
                  <c:v>0</c:v>
                </c:pt>
                <c:pt idx="7">
                  <c:v>0</c:v>
                </c:pt>
                <c:pt idx="8">
                  <c:v>0</c:v>
                </c:pt>
                <c:pt idx="9">
                  <c:v>0</c:v>
                </c:pt>
                <c:pt idx="10">
                  <c:v>2.3157657835846646E-3</c:v>
                </c:pt>
                <c:pt idx="11">
                  <c:v>0</c:v>
                </c:pt>
              </c:numCache>
            </c:numRef>
          </c:val>
          <c:extLst>
            <c:ext xmlns:c16="http://schemas.microsoft.com/office/drawing/2014/chart" uri="{C3380CC4-5D6E-409C-BE32-E72D297353CC}">
              <c16:uniqueId val="{00000004-C5AF-419B-8360-F3658EC65968}"/>
            </c:ext>
          </c:extLst>
        </c:ser>
        <c:ser>
          <c:idx val="10"/>
          <c:order val="10"/>
          <c:tx>
            <c:strRef>
              <c:f>visualization!$L$231:$L$232</c:f>
              <c:strCache>
                <c:ptCount val="1"/>
                <c:pt idx="0">
                  <c:v>Dantech</c:v>
                </c:pt>
              </c:strCache>
            </c:strRef>
          </c:tx>
          <c:spPr>
            <a:solidFill>
              <a:schemeClr val="accent5">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visualization!$L$233:$L$245</c:f>
              <c:numCache>
                <c:formatCode>General</c:formatCode>
                <c:ptCount val="12"/>
                <c:pt idx="0">
                  <c:v>0</c:v>
                </c:pt>
                <c:pt idx="1">
                  <c:v>0</c:v>
                </c:pt>
                <c:pt idx="2">
                  <c:v>0</c:v>
                </c:pt>
                <c:pt idx="3">
                  <c:v>0</c:v>
                </c:pt>
                <c:pt idx="4">
                  <c:v>0</c:v>
                </c:pt>
                <c:pt idx="5">
                  <c:v>0</c:v>
                </c:pt>
                <c:pt idx="6">
                  <c:v>0</c:v>
                </c:pt>
                <c:pt idx="7">
                  <c:v>0</c:v>
                </c:pt>
                <c:pt idx="8">
                  <c:v>1.711028499708056E-3</c:v>
                </c:pt>
                <c:pt idx="9">
                  <c:v>0</c:v>
                </c:pt>
                <c:pt idx="10">
                  <c:v>0</c:v>
                </c:pt>
                <c:pt idx="11">
                  <c:v>2.1733888057847493E-3</c:v>
                </c:pt>
              </c:numCache>
            </c:numRef>
          </c:val>
          <c:extLst>
            <c:ext xmlns:c16="http://schemas.microsoft.com/office/drawing/2014/chart" uri="{C3380CC4-5D6E-409C-BE32-E72D297353CC}">
              <c16:uniqueId val="{00000005-C5AF-419B-8360-F3658EC65968}"/>
            </c:ext>
          </c:extLst>
        </c:ser>
        <c:ser>
          <c:idx val="11"/>
          <c:order val="11"/>
          <c:tx>
            <c:strRef>
              <c:f>visualization!$M$231:$M$232</c:f>
              <c:strCache>
                <c:ptCount val="1"/>
                <c:pt idx="0">
                  <c:v>Dentojob</c:v>
                </c:pt>
              </c:strCache>
            </c:strRef>
          </c:tx>
          <c:spPr>
            <a:solidFill>
              <a:schemeClr val="accent6">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visualization!$M$233:$M$245</c:f>
              <c:numCache>
                <c:formatCode>General</c:formatCode>
                <c:ptCount val="12"/>
                <c:pt idx="0">
                  <c:v>0</c:v>
                </c:pt>
                <c:pt idx="1">
                  <c:v>0</c:v>
                </c:pt>
                <c:pt idx="2">
                  <c:v>0</c:v>
                </c:pt>
                <c:pt idx="3">
                  <c:v>0</c:v>
                </c:pt>
                <c:pt idx="4">
                  <c:v>0</c:v>
                </c:pt>
                <c:pt idx="5">
                  <c:v>0</c:v>
                </c:pt>
                <c:pt idx="6">
                  <c:v>2.3821453384180705E-3</c:v>
                </c:pt>
                <c:pt idx="7">
                  <c:v>0</c:v>
                </c:pt>
                <c:pt idx="8">
                  <c:v>0</c:v>
                </c:pt>
                <c:pt idx="9">
                  <c:v>0</c:v>
                </c:pt>
                <c:pt idx="10">
                  <c:v>0</c:v>
                </c:pt>
                <c:pt idx="11">
                  <c:v>0</c:v>
                </c:pt>
              </c:numCache>
            </c:numRef>
          </c:val>
          <c:extLst>
            <c:ext xmlns:c16="http://schemas.microsoft.com/office/drawing/2014/chart" uri="{C3380CC4-5D6E-409C-BE32-E72D297353CC}">
              <c16:uniqueId val="{00000006-C5AF-419B-8360-F3658EC65968}"/>
            </c:ext>
          </c:extLst>
        </c:ser>
        <c:ser>
          <c:idx val="12"/>
          <c:order val="12"/>
          <c:tx>
            <c:strRef>
              <c:f>visualization!$N$231:$N$232</c:f>
              <c:strCache>
                <c:ptCount val="1"/>
                <c:pt idx="0">
                  <c:v>Direct</c:v>
                </c:pt>
              </c:strCache>
            </c:strRef>
          </c:tx>
          <c:spPr>
            <a:solidFill>
              <a:schemeClr val="accent1">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visualization!$N$233:$N$245</c:f>
              <c:numCache>
                <c:formatCode>General</c:formatCode>
                <c:ptCount val="12"/>
                <c:pt idx="0">
                  <c:v>6.0287653542243809E-2</c:v>
                </c:pt>
                <c:pt idx="1">
                  <c:v>4.3230211519864337E-2</c:v>
                </c:pt>
                <c:pt idx="2">
                  <c:v>6.7849106531170253E-2</c:v>
                </c:pt>
                <c:pt idx="3">
                  <c:v>6.2598698221222895E-2</c:v>
                </c:pt>
                <c:pt idx="4">
                  <c:v>3.2022640986393465E-2</c:v>
                </c:pt>
                <c:pt idx="5">
                  <c:v>6.3252192783394098E-2</c:v>
                </c:pt>
                <c:pt idx="6">
                  <c:v>2.4134017833791566E-3</c:v>
                </c:pt>
                <c:pt idx="7">
                  <c:v>5.3441212604853116E-3</c:v>
                </c:pt>
                <c:pt idx="8">
                  <c:v>2.3494012141922027E-3</c:v>
                </c:pt>
                <c:pt idx="9">
                  <c:v>2.4605412646890247E-3</c:v>
                </c:pt>
                <c:pt idx="10">
                  <c:v>6.616976169627046E-3</c:v>
                </c:pt>
                <c:pt idx="11">
                  <c:v>1.2099230401613179E-2</c:v>
                </c:pt>
              </c:numCache>
            </c:numRef>
          </c:val>
          <c:extLst>
            <c:ext xmlns:c16="http://schemas.microsoft.com/office/drawing/2014/chart" uri="{C3380CC4-5D6E-409C-BE32-E72D297353CC}">
              <c16:uniqueId val="{00000007-C5AF-419B-8360-F3658EC65968}"/>
            </c:ext>
          </c:extLst>
        </c:ser>
        <c:ser>
          <c:idx val="13"/>
          <c:order val="13"/>
          <c:tx>
            <c:strRef>
              <c:f>visualization!$O$231:$O$232</c:f>
              <c:strCache>
                <c:ptCount val="1"/>
                <c:pt idx="0">
                  <c:v>Donuniace</c:v>
                </c:pt>
              </c:strCache>
            </c:strRef>
          </c:tx>
          <c:spPr>
            <a:solidFill>
              <a:schemeClr val="accent2">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visualization!$O$233:$O$245</c:f>
              <c:numCache>
                <c:formatCode>General</c:formatCode>
                <c:ptCount val="12"/>
                <c:pt idx="0">
                  <c:v>0</c:v>
                </c:pt>
                <c:pt idx="1">
                  <c:v>0</c:v>
                </c:pt>
                <c:pt idx="2">
                  <c:v>0</c:v>
                </c:pt>
                <c:pt idx="3">
                  <c:v>0</c:v>
                </c:pt>
                <c:pt idx="4">
                  <c:v>0</c:v>
                </c:pt>
                <c:pt idx="5">
                  <c:v>1.3476877785146754E-3</c:v>
                </c:pt>
                <c:pt idx="6">
                  <c:v>0</c:v>
                </c:pt>
                <c:pt idx="7">
                  <c:v>0</c:v>
                </c:pt>
                <c:pt idx="8">
                  <c:v>0</c:v>
                </c:pt>
                <c:pt idx="9">
                  <c:v>0</c:v>
                </c:pt>
                <c:pt idx="10">
                  <c:v>0</c:v>
                </c:pt>
                <c:pt idx="11">
                  <c:v>0</c:v>
                </c:pt>
              </c:numCache>
            </c:numRef>
          </c:val>
          <c:extLst>
            <c:ext xmlns:c16="http://schemas.microsoft.com/office/drawing/2014/chart" uri="{C3380CC4-5D6E-409C-BE32-E72D297353CC}">
              <c16:uniqueId val="{00000008-C5AF-419B-8360-F3658EC65968}"/>
            </c:ext>
          </c:extLst>
        </c:ser>
        <c:ser>
          <c:idx val="14"/>
          <c:order val="14"/>
          <c:tx>
            <c:strRef>
              <c:f>visualization!$P$231:$P$232</c:f>
              <c:strCache>
                <c:ptCount val="1"/>
                <c:pt idx="0">
                  <c:v>Doublestreet</c:v>
                </c:pt>
              </c:strCache>
            </c:strRef>
          </c:tx>
          <c:spPr>
            <a:solidFill>
              <a:schemeClr val="accent3">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visualization!$P$233:$P$245</c:f>
              <c:numCache>
                <c:formatCode>General</c:formatCode>
                <c:ptCount val="12"/>
                <c:pt idx="0">
                  <c:v>0</c:v>
                </c:pt>
                <c:pt idx="1">
                  <c:v>0</c:v>
                </c:pt>
                <c:pt idx="2">
                  <c:v>0</c:v>
                </c:pt>
                <c:pt idx="3">
                  <c:v>0</c:v>
                </c:pt>
                <c:pt idx="4">
                  <c:v>0</c:v>
                </c:pt>
                <c:pt idx="5">
                  <c:v>3.4375388394617093E-3</c:v>
                </c:pt>
                <c:pt idx="6">
                  <c:v>0</c:v>
                </c:pt>
                <c:pt idx="7">
                  <c:v>0</c:v>
                </c:pt>
                <c:pt idx="8">
                  <c:v>0</c:v>
                </c:pt>
                <c:pt idx="9">
                  <c:v>0</c:v>
                </c:pt>
                <c:pt idx="10">
                  <c:v>0</c:v>
                </c:pt>
                <c:pt idx="11">
                  <c:v>0</c:v>
                </c:pt>
              </c:numCache>
            </c:numRef>
          </c:val>
          <c:extLst>
            <c:ext xmlns:c16="http://schemas.microsoft.com/office/drawing/2014/chart" uri="{C3380CC4-5D6E-409C-BE32-E72D297353CC}">
              <c16:uniqueId val="{00000009-C5AF-419B-8360-F3658EC65968}"/>
            </c:ext>
          </c:extLst>
        </c:ser>
        <c:ser>
          <c:idx val="15"/>
          <c:order val="15"/>
          <c:tx>
            <c:strRef>
              <c:f>visualization!$Q$231:$Q$232</c:f>
              <c:strCache>
                <c:ptCount val="1"/>
                <c:pt idx="0">
                  <c:v>Drillelectronics</c:v>
                </c:pt>
              </c:strCache>
            </c:strRef>
          </c:tx>
          <c:spPr>
            <a:solidFill>
              <a:schemeClr val="accent4">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visualization!$Q$233:$Q$245</c:f>
              <c:numCache>
                <c:formatCode>General</c:formatCode>
                <c:ptCount val="12"/>
                <c:pt idx="0">
                  <c:v>1.4349484081830783E-2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C5AF-419B-8360-F3658EC65968}"/>
            </c:ext>
          </c:extLst>
        </c:ser>
        <c:ser>
          <c:idx val="16"/>
          <c:order val="16"/>
          <c:tx>
            <c:strRef>
              <c:f>visualization!$R$231:$R$232</c:f>
              <c:strCache>
                <c:ptCount val="1"/>
                <c:pt idx="0">
                  <c:v>Dripstrip</c:v>
                </c:pt>
              </c:strCache>
            </c:strRef>
          </c:tx>
          <c:spPr>
            <a:solidFill>
              <a:schemeClr val="accent5">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visualization!$R$233:$R$245</c:f>
              <c:numCache>
                <c:formatCode>General</c:formatCode>
                <c:ptCount val="12"/>
                <c:pt idx="0">
                  <c:v>0</c:v>
                </c:pt>
                <c:pt idx="1">
                  <c:v>5.1596013218216767E-3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5AF-419B-8360-F3658EC65968}"/>
            </c:ext>
          </c:extLst>
        </c:ser>
        <c:ser>
          <c:idx val="17"/>
          <c:order val="17"/>
          <c:tx>
            <c:strRef>
              <c:f>visualization!$S$231:$S$232</c:f>
              <c:strCache>
                <c:ptCount val="1"/>
                <c:pt idx="0">
                  <c:v>Duo-tech</c:v>
                </c:pt>
              </c:strCache>
            </c:strRef>
          </c:tx>
          <c:spPr>
            <a:solidFill>
              <a:schemeClr val="accent6">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visualization!$S$233:$S$245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2.4481171910622945E-3</c:v>
                </c:pt>
              </c:numCache>
            </c:numRef>
          </c:val>
          <c:extLst>
            <c:ext xmlns:c16="http://schemas.microsoft.com/office/drawing/2014/chart" uri="{C3380CC4-5D6E-409C-BE32-E72D297353CC}">
              <c16:uniqueId val="{0000000C-C5AF-419B-8360-F3658EC65968}"/>
            </c:ext>
          </c:extLst>
        </c:ser>
        <c:ser>
          <c:idx val="18"/>
          <c:order val="18"/>
          <c:tx>
            <c:strRef>
              <c:f>visualization!$T$231:$T$232</c:f>
              <c:strCache>
                <c:ptCount val="1"/>
                <c:pt idx="0">
                  <c:v>Duotechi</c:v>
                </c:pt>
              </c:strCache>
            </c:strRef>
          </c:tx>
          <c:spPr>
            <a:solidFill>
              <a:schemeClr val="accent1">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visualization!$T$233:$T$245</c:f>
              <c:numCache>
                <c:formatCode>General</c:formatCode>
                <c:ptCount val="12"/>
                <c:pt idx="0">
                  <c:v>0</c:v>
                </c:pt>
                <c:pt idx="1">
                  <c:v>0</c:v>
                </c:pt>
                <c:pt idx="2">
                  <c:v>0</c:v>
                </c:pt>
                <c:pt idx="3">
                  <c:v>0</c:v>
                </c:pt>
                <c:pt idx="4">
                  <c:v>0</c:v>
                </c:pt>
                <c:pt idx="5">
                  <c:v>0</c:v>
                </c:pt>
                <c:pt idx="6">
                  <c:v>0</c:v>
                </c:pt>
                <c:pt idx="7">
                  <c:v>0</c:v>
                </c:pt>
                <c:pt idx="8">
                  <c:v>1.684733877134465E-3</c:v>
                </c:pt>
                <c:pt idx="9">
                  <c:v>0</c:v>
                </c:pt>
                <c:pt idx="10">
                  <c:v>0</c:v>
                </c:pt>
                <c:pt idx="11">
                  <c:v>0</c:v>
                </c:pt>
              </c:numCache>
            </c:numRef>
          </c:val>
          <c:extLst>
            <c:ext xmlns:c16="http://schemas.microsoft.com/office/drawing/2014/chart" uri="{C3380CC4-5D6E-409C-BE32-E72D297353CC}">
              <c16:uniqueId val="{0000000D-C5AF-419B-8360-F3658EC65968}"/>
            </c:ext>
          </c:extLst>
        </c:ser>
        <c:ser>
          <c:idx val="19"/>
          <c:order val="19"/>
          <c:tx>
            <c:strRef>
              <c:f>visualization!$U$231:$U$232</c:f>
              <c:strCache>
                <c:ptCount val="1"/>
                <c:pt idx="0">
                  <c:v>fasetone</c:v>
                </c:pt>
              </c:strCache>
            </c:strRef>
          </c:tx>
          <c:spPr>
            <a:solidFill>
              <a:schemeClr val="accent2">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visualization!$U$233:$U$245</c:f>
              <c:numCache>
                <c:formatCode>General</c:formatCode>
                <c:ptCount val="12"/>
                <c:pt idx="0">
                  <c:v>0</c:v>
                </c:pt>
                <c:pt idx="1">
                  <c:v>0</c:v>
                </c:pt>
                <c:pt idx="2">
                  <c:v>0</c:v>
                </c:pt>
                <c:pt idx="3">
                  <c:v>3.0683926993298126E-5</c:v>
                </c:pt>
                <c:pt idx="4">
                  <c:v>0</c:v>
                </c:pt>
                <c:pt idx="5">
                  <c:v>1.8301491036952546E-4</c:v>
                </c:pt>
                <c:pt idx="6">
                  <c:v>0</c:v>
                </c:pt>
                <c:pt idx="7">
                  <c:v>0</c:v>
                </c:pt>
                <c:pt idx="8">
                  <c:v>0</c:v>
                </c:pt>
                <c:pt idx="9">
                  <c:v>0</c:v>
                </c:pt>
                <c:pt idx="10">
                  <c:v>0</c:v>
                </c:pt>
                <c:pt idx="11">
                  <c:v>0</c:v>
                </c:pt>
              </c:numCache>
            </c:numRef>
          </c:val>
          <c:extLst>
            <c:ext xmlns:c16="http://schemas.microsoft.com/office/drawing/2014/chart" uri="{C3380CC4-5D6E-409C-BE32-E72D297353CC}">
              <c16:uniqueId val="{0000000E-C5AF-419B-8360-F3658EC65968}"/>
            </c:ext>
          </c:extLst>
        </c:ser>
        <c:ser>
          <c:idx val="20"/>
          <c:order val="20"/>
          <c:tx>
            <c:strRef>
              <c:f>visualization!$V$231:$V$232</c:f>
              <c:strCache>
                <c:ptCount val="1"/>
                <c:pt idx="0">
                  <c:v>Fincom</c:v>
                </c:pt>
              </c:strCache>
            </c:strRef>
          </c:tx>
          <c:spPr>
            <a:solidFill>
              <a:schemeClr val="accent3">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visualization!$V$233:$V$245</c:f>
              <c:numCache>
                <c:formatCode>General</c:formatCode>
                <c:ptCount val="12"/>
                <c:pt idx="0">
                  <c:v>0</c:v>
                </c:pt>
                <c:pt idx="1">
                  <c:v>0</c:v>
                </c:pt>
                <c:pt idx="2">
                  <c:v>0</c:v>
                </c:pt>
                <c:pt idx="3">
                  <c:v>0</c:v>
                </c:pt>
                <c:pt idx="4">
                  <c:v>0</c:v>
                </c:pt>
                <c:pt idx="5">
                  <c:v>0</c:v>
                </c:pt>
                <c:pt idx="6">
                  <c:v>0</c:v>
                </c:pt>
                <c:pt idx="7">
                  <c:v>0</c:v>
                </c:pt>
                <c:pt idx="8">
                  <c:v>2.1184791279650938E-3</c:v>
                </c:pt>
                <c:pt idx="9">
                  <c:v>0</c:v>
                </c:pt>
                <c:pt idx="10">
                  <c:v>0</c:v>
                </c:pt>
                <c:pt idx="11">
                  <c:v>0</c:v>
                </c:pt>
              </c:numCache>
            </c:numRef>
          </c:val>
          <c:extLst>
            <c:ext xmlns:c16="http://schemas.microsoft.com/office/drawing/2014/chart" uri="{C3380CC4-5D6E-409C-BE32-E72D297353CC}">
              <c16:uniqueId val="{0000000F-C5AF-419B-8360-F3658EC65968}"/>
            </c:ext>
          </c:extLst>
        </c:ser>
        <c:ser>
          <c:idx val="21"/>
          <c:order val="21"/>
          <c:tx>
            <c:strRef>
              <c:f>visualization!$W$231:$W$232</c:f>
              <c:strCache>
                <c:ptCount val="1"/>
                <c:pt idx="0">
                  <c:v>Fixplus</c:v>
                </c:pt>
              </c:strCache>
            </c:strRef>
          </c:tx>
          <c:spPr>
            <a:solidFill>
              <a:schemeClr val="accent4">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visualization!$W$233:$W$245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1.7389951349830275E-3</c:v>
                </c:pt>
              </c:numCache>
            </c:numRef>
          </c:val>
          <c:extLst>
            <c:ext xmlns:c16="http://schemas.microsoft.com/office/drawing/2014/chart" uri="{C3380CC4-5D6E-409C-BE32-E72D297353CC}">
              <c16:uniqueId val="{00000010-C5AF-419B-8360-F3658EC65968}"/>
            </c:ext>
          </c:extLst>
        </c:ser>
        <c:ser>
          <c:idx val="22"/>
          <c:order val="22"/>
          <c:tx>
            <c:strRef>
              <c:f>visualization!$X$231:$X$232</c:f>
              <c:strCache>
                <c:ptCount val="1"/>
                <c:pt idx="0">
                  <c:v>Flexlax</c:v>
                </c:pt>
              </c:strCache>
            </c:strRef>
          </c:tx>
          <c:spPr>
            <a:solidFill>
              <a:schemeClr val="accent5">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visualization!$X$233:$X$245</c:f>
              <c:numCache>
                <c:formatCode>General</c:formatCode>
                <c:ptCount val="12"/>
                <c:pt idx="0">
                  <c:v>0</c:v>
                </c:pt>
                <c:pt idx="1">
                  <c:v>0</c:v>
                </c:pt>
                <c:pt idx="2">
                  <c:v>0</c:v>
                </c:pt>
                <c:pt idx="3">
                  <c:v>0</c:v>
                </c:pt>
                <c:pt idx="4">
                  <c:v>0</c:v>
                </c:pt>
                <c:pt idx="5">
                  <c:v>7.6285850579069074E-4</c:v>
                </c:pt>
                <c:pt idx="6">
                  <c:v>0</c:v>
                </c:pt>
                <c:pt idx="7">
                  <c:v>0</c:v>
                </c:pt>
                <c:pt idx="8">
                  <c:v>0</c:v>
                </c:pt>
                <c:pt idx="9">
                  <c:v>0</c:v>
                </c:pt>
                <c:pt idx="10">
                  <c:v>0</c:v>
                </c:pt>
                <c:pt idx="11">
                  <c:v>0</c:v>
                </c:pt>
              </c:numCache>
            </c:numRef>
          </c:val>
          <c:extLst>
            <c:ext xmlns:c16="http://schemas.microsoft.com/office/drawing/2014/chart" uri="{C3380CC4-5D6E-409C-BE32-E72D297353CC}">
              <c16:uniqueId val="{00000011-C5AF-419B-8360-F3658EC65968}"/>
            </c:ext>
          </c:extLst>
        </c:ser>
        <c:ser>
          <c:idx val="23"/>
          <c:order val="23"/>
          <c:tx>
            <c:strRef>
              <c:f>visualization!$Y$231:$Y$232</c:f>
              <c:strCache>
                <c:ptCount val="1"/>
                <c:pt idx="0">
                  <c:v>Flexzim</c:v>
                </c:pt>
              </c:strCache>
            </c:strRef>
          </c:tx>
          <c:spPr>
            <a:solidFill>
              <a:schemeClr val="accent6">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visualization!$Y$233:$Y$245</c:f>
              <c:numCache>
                <c:formatCode>General</c:formatCode>
                <c:ptCount val="12"/>
                <c:pt idx="0">
                  <c:v>4.1438677018193447E-3</c:v>
                </c:pt>
                <c:pt idx="1">
                  <c:v>0</c:v>
                </c:pt>
                <c:pt idx="2">
                  <c:v>0</c:v>
                </c:pt>
                <c:pt idx="3">
                  <c:v>0</c:v>
                </c:pt>
                <c:pt idx="4">
                  <c:v>9.227146306374633E-4</c:v>
                </c:pt>
                <c:pt idx="5">
                  <c:v>0</c:v>
                </c:pt>
                <c:pt idx="6">
                  <c:v>0</c:v>
                </c:pt>
                <c:pt idx="7">
                  <c:v>0</c:v>
                </c:pt>
                <c:pt idx="8">
                  <c:v>0</c:v>
                </c:pt>
                <c:pt idx="9">
                  <c:v>2.4880871860028186E-3</c:v>
                </c:pt>
                <c:pt idx="10">
                  <c:v>0</c:v>
                </c:pt>
                <c:pt idx="11">
                  <c:v>0</c:v>
                </c:pt>
              </c:numCache>
            </c:numRef>
          </c:val>
          <c:extLst>
            <c:ext xmlns:c16="http://schemas.microsoft.com/office/drawing/2014/chart" uri="{C3380CC4-5D6E-409C-BE32-E72D297353CC}">
              <c16:uniqueId val="{00000012-C5AF-419B-8360-F3658EC65968}"/>
            </c:ext>
          </c:extLst>
        </c:ser>
        <c:ser>
          <c:idx val="24"/>
          <c:order val="24"/>
          <c:tx>
            <c:strRef>
              <c:f>visualization!$Z$231:$Z$232</c:f>
              <c:strCache>
                <c:ptCount val="1"/>
                <c:pt idx="0">
                  <c:v>Free-electronics</c:v>
                </c:pt>
              </c:strCache>
            </c:strRef>
          </c:tx>
          <c:spPr>
            <a:solidFill>
              <a:schemeClr val="accent1">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visualization!$Z$233:$Z$245</c:f>
              <c:numCache>
                <c:formatCode>General</c:formatCode>
                <c:ptCount val="12"/>
                <c:pt idx="0">
                  <c:v>0</c:v>
                </c:pt>
                <c:pt idx="1">
                  <c:v>0</c:v>
                </c:pt>
                <c:pt idx="2">
                  <c:v>6.2770566380249875E-3</c:v>
                </c:pt>
                <c:pt idx="3">
                  <c:v>0</c:v>
                </c:pt>
                <c:pt idx="4">
                  <c:v>0</c:v>
                </c:pt>
                <c:pt idx="5">
                  <c:v>0</c:v>
                </c:pt>
                <c:pt idx="6">
                  <c:v>0</c:v>
                </c:pt>
                <c:pt idx="7">
                  <c:v>0</c:v>
                </c:pt>
                <c:pt idx="8">
                  <c:v>1.3675871151526359E-3</c:v>
                </c:pt>
                <c:pt idx="9">
                  <c:v>0</c:v>
                </c:pt>
                <c:pt idx="10">
                  <c:v>0</c:v>
                </c:pt>
                <c:pt idx="11">
                  <c:v>1.6661378863246882E-3</c:v>
                </c:pt>
              </c:numCache>
            </c:numRef>
          </c:val>
          <c:extLst>
            <c:ext xmlns:c16="http://schemas.microsoft.com/office/drawing/2014/chart" uri="{C3380CC4-5D6E-409C-BE32-E72D297353CC}">
              <c16:uniqueId val="{00000013-C5AF-419B-8360-F3658EC65968}"/>
            </c:ext>
          </c:extLst>
        </c:ser>
        <c:ser>
          <c:idx val="25"/>
          <c:order val="25"/>
          <c:tx>
            <c:strRef>
              <c:f>visualization!$AA$231:$AA$232</c:f>
              <c:strCache>
                <c:ptCount val="1"/>
                <c:pt idx="0">
                  <c:v>Funcane</c:v>
                </c:pt>
              </c:strCache>
            </c:strRef>
          </c:tx>
          <c:spPr>
            <a:solidFill>
              <a:schemeClr val="accent2">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visualization!$AA$233:$AA$245</c:f>
              <c:numCache>
                <c:formatCode>General</c:formatCode>
                <c:ptCount val="12"/>
                <c:pt idx="0">
                  <c:v>0</c:v>
                </c:pt>
                <c:pt idx="1">
                  <c:v>0</c:v>
                </c:pt>
                <c:pt idx="2">
                  <c:v>1.2805145055895634E-3</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C5AF-419B-8360-F3658EC65968}"/>
            </c:ext>
          </c:extLst>
        </c:ser>
        <c:ser>
          <c:idx val="26"/>
          <c:order val="26"/>
          <c:tx>
            <c:strRef>
              <c:f>visualization!$AB$231:$AB$232</c:f>
              <c:strCache>
                <c:ptCount val="1"/>
                <c:pt idx="0">
                  <c:v>Ganjacore</c:v>
                </c:pt>
              </c:strCache>
            </c:strRef>
          </c:tx>
          <c:spPr>
            <a:solidFill>
              <a:schemeClr val="accent3">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visualization!$AB$233:$AB$245</c:f>
              <c:numCache>
                <c:formatCode>General</c:formatCode>
                <c:ptCount val="12"/>
                <c:pt idx="0">
                  <c:v>0</c:v>
                </c:pt>
                <c:pt idx="1">
                  <c:v>0</c:v>
                </c:pt>
                <c:pt idx="2">
                  <c:v>0</c:v>
                </c:pt>
                <c:pt idx="3">
                  <c:v>0</c:v>
                </c:pt>
                <c:pt idx="4">
                  <c:v>4.5085746590722191E-3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5-C5AF-419B-8360-F3658EC65968}"/>
            </c:ext>
          </c:extLst>
        </c:ser>
        <c:ser>
          <c:idx val="27"/>
          <c:order val="27"/>
          <c:tx>
            <c:strRef>
              <c:f>visualization!$AC$231:$AC$232</c:f>
              <c:strCache>
                <c:ptCount val="1"/>
                <c:pt idx="0">
                  <c:v>Goldenstreet</c:v>
                </c:pt>
              </c:strCache>
            </c:strRef>
          </c:tx>
          <c:spPr>
            <a:solidFill>
              <a:schemeClr val="accent4">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visualization!$AC$233:$AC$245</c:f>
              <c:numCache>
                <c:formatCode>General</c:formatCode>
                <c:ptCount val="12"/>
                <c:pt idx="0">
                  <c:v>6.0088493191456935E-3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6-C5AF-419B-8360-F3658EC65968}"/>
            </c:ext>
          </c:extLst>
        </c:ser>
        <c:ser>
          <c:idx val="28"/>
          <c:order val="28"/>
          <c:tx>
            <c:strRef>
              <c:f>visualization!$AD$231:$AD$232</c:f>
              <c:strCache>
                <c:ptCount val="1"/>
                <c:pt idx="0">
                  <c:v>gravedrill</c:v>
                </c:pt>
              </c:strCache>
            </c:strRef>
          </c:tx>
          <c:spPr>
            <a:solidFill>
              <a:schemeClr val="accent5">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visualization!$AD$233:$AD$245</c:f>
              <c:numCache>
                <c:formatCode>General</c:formatCode>
                <c:ptCount val="12"/>
                <c:pt idx="0">
                  <c:v>0</c:v>
                </c:pt>
                <c:pt idx="1">
                  <c:v>0</c:v>
                </c:pt>
                <c:pt idx="2">
                  <c:v>0</c:v>
                </c:pt>
                <c:pt idx="3">
                  <c:v>0</c:v>
                </c:pt>
                <c:pt idx="4">
                  <c:v>0</c:v>
                </c:pt>
                <c:pt idx="5">
                  <c:v>0</c:v>
                </c:pt>
                <c:pt idx="6">
                  <c:v>5.7951027719522208E-3</c:v>
                </c:pt>
                <c:pt idx="7">
                  <c:v>0</c:v>
                </c:pt>
                <c:pt idx="8">
                  <c:v>0</c:v>
                </c:pt>
                <c:pt idx="9">
                  <c:v>0</c:v>
                </c:pt>
                <c:pt idx="10">
                  <c:v>0</c:v>
                </c:pt>
                <c:pt idx="11">
                  <c:v>0</c:v>
                </c:pt>
              </c:numCache>
            </c:numRef>
          </c:val>
          <c:extLst>
            <c:ext xmlns:c16="http://schemas.microsoft.com/office/drawing/2014/chart" uri="{C3380CC4-5D6E-409C-BE32-E72D297353CC}">
              <c16:uniqueId val="{00000017-C5AF-419B-8360-F3658EC65968}"/>
            </c:ext>
          </c:extLst>
        </c:ser>
        <c:ser>
          <c:idx val="29"/>
          <c:order val="29"/>
          <c:tx>
            <c:strRef>
              <c:f>visualization!$AE$231:$AE$232</c:f>
              <c:strCache>
                <c:ptCount val="1"/>
                <c:pt idx="0">
                  <c:v>Hayit</c:v>
                </c:pt>
              </c:strCache>
            </c:strRef>
          </c:tx>
          <c:spPr>
            <a:solidFill>
              <a:schemeClr val="accent6">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visualization!$AE$233:$AE$245</c:f>
              <c:numCache>
                <c:formatCode>General</c:formatCode>
                <c:ptCount val="12"/>
                <c:pt idx="0">
                  <c:v>0</c:v>
                </c:pt>
                <c:pt idx="1">
                  <c:v>0</c:v>
                </c:pt>
                <c:pt idx="2">
                  <c:v>0</c:v>
                </c:pt>
                <c:pt idx="3">
                  <c:v>0</c:v>
                </c:pt>
                <c:pt idx="4">
                  <c:v>1.3513939649046356E-3</c:v>
                </c:pt>
                <c:pt idx="5">
                  <c:v>0</c:v>
                </c:pt>
                <c:pt idx="6">
                  <c:v>2.5204539688408268E-3</c:v>
                </c:pt>
                <c:pt idx="7">
                  <c:v>0</c:v>
                </c:pt>
                <c:pt idx="8">
                  <c:v>0</c:v>
                </c:pt>
                <c:pt idx="9">
                  <c:v>0</c:v>
                </c:pt>
                <c:pt idx="10">
                  <c:v>0</c:v>
                </c:pt>
                <c:pt idx="11">
                  <c:v>0</c:v>
                </c:pt>
              </c:numCache>
            </c:numRef>
          </c:val>
          <c:extLst>
            <c:ext xmlns:c16="http://schemas.microsoft.com/office/drawing/2014/chart" uri="{C3380CC4-5D6E-409C-BE32-E72D297353CC}">
              <c16:uniqueId val="{00000018-C5AF-419B-8360-F3658EC65968}"/>
            </c:ext>
          </c:extLst>
        </c:ser>
        <c:ser>
          <c:idx val="30"/>
          <c:order val="30"/>
          <c:tx>
            <c:strRef>
              <c:f>visualization!$AF$231:$AF$232</c:f>
              <c:strCache>
                <c:ptCount val="1"/>
                <c:pt idx="0">
                  <c:v>Hotaphex</c:v>
                </c:pt>
              </c:strCache>
            </c:strRef>
          </c:tx>
          <c:spPr>
            <a:solidFill>
              <a:schemeClr val="accent1">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visualization!$AF$233:$AF$245</c:f>
              <c:numCache>
                <c:formatCode>General</c:formatCode>
                <c:ptCount val="12"/>
                <c:pt idx="0">
                  <c:v>0</c:v>
                </c:pt>
                <c:pt idx="1">
                  <c:v>0</c:v>
                </c:pt>
                <c:pt idx="2">
                  <c:v>0</c:v>
                </c:pt>
                <c:pt idx="3">
                  <c:v>0</c:v>
                </c:pt>
                <c:pt idx="4">
                  <c:v>0</c:v>
                </c:pt>
                <c:pt idx="5">
                  <c:v>0</c:v>
                </c:pt>
                <c:pt idx="6">
                  <c:v>1.1504336523250923E-3</c:v>
                </c:pt>
                <c:pt idx="7">
                  <c:v>0</c:v>
                </c:pt>
                <c:pt idx="8">
                  <c:v>0</c:v>
                </c:pt>
                <c:pt idx="9">
                  <c:v>0</c:v>
                </c:pt>
                <c:pt idx="10">
                  <c:v>0</c:v>
                </c:pt>
                <c:pt idx="11">
                  <c:v>0</c:v>
                </c:pt>
              </c:numCache>
            </c:numRef>
          </c:val>
          <c:extLst>
            <c:ext xmlns:c16="http://schemas.microsoft.com/office/drawing/2014/chart" uri="{C3380CC4-5D6E-409C-BE32-E72D297353CC}">
              <c16:uniqueId val="{00000019-C5AF-419B-8360-F3658EC65968}"/>
            </c:ext>
          </c:extLst>
        </c:ser>
        <c:ser>
          <c:idx val="31"/>
          <c:order val="31"/>
          <c:tx>
            <c:strRef>
              <c:f>visualization!$AG$231:$AG$232</c:f>
              <c:strCache>
                <c:ptCount val="1"/>
                <c:pt idx="0">
                  <c:v>Hotlam</c:v>
                </c:pt>
              </c:strCache>
            </c:strRef>
          </c:tx>
          <c:spPr>
            <a:solidFill>
              <a:schemeClr val="accent2">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visualization!$AG$233:$AG$245</c:f>
              <c:numCache>
                <c:formatCode>General</c:formatCode>
                <c:ptCount val="12"/>
                <c:pt idx="0">
                  <c:v>1.1429024386942826E-2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A-C5AF-419B-8360-F3658EC65968}"/>
            </c:ext>
          </c:extLst>
        </c:ser>
        <c:ser>
          <c:idx val="32"/>
          <c:order val="32"/>
          <c:tx>
            <c:strRef>
              <c:f>visualization!$AH$231:$AH$232</c:f>
              <c:strCache>
                <c:ptCount val="1"/>
                <c:pt idx="0">
                  <c:v>Hotlane</c:v>
                </c:pt>
              </c:strCache>
            </c:strRef>
          </c:tx>
          <c:spPr>
            <a:solidFill>
              <a:schemeClr val="accent3">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visualization!$AH$233:$AH$245</c:f>
              <c:numCache>
                <c:formatCode>General</c:formatCode>
                <c:ptCount val="12"/>
                <c:pt idx="0">
                  <c:v>0</c:v>
                </c:pt>
                <c:pt idx="1">
                  <c:v>0</c:v>
                </c:pt>
                <c:pt idx="2">
                  <c:v>0</c:v>
                </c:pt>
                <c:pt idx="3">
                  <c:v>0</c:v>
                </c:pt>
                <c:pt idx="4">
                  <c:v>3.0987274771079069E-3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B-C5AF-419B-8360-F3658EC65968}"/>
            </c:ext>
          </c:extLst>
        </c:ser>
        <c:ser>
          <c:idx val="33"/>
          <c:order val="33"/>
          <c:tx>
            <c:strRef>
              <c:f>visualization!$AI$231:$AI$232</c:f>
              <c:strCache>
                <c:ptCount val="1"/>
                <c:pt idx="0">
                  <c:v>Hottouch</c:v>
                </c:pt>
              </c:strCache>
            </c:strRef>
          </c:tx>
          <c:spPr>
            <a:solidFill>
              <a:schemeClr val="accent4">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visualization!$AI$233:$AI$245</c:f>
              <c:numCache>
                <c:formatCode>General</c:formatCode>
                <c:ptCount val="12"/>
                <c:pt idx="0">
                  <c:v>0</c:v>
                </c:pt>
                <c:pt idx="1">
                  <c:v>0</c:v>
                </c:pt>
                <c:pt idx="2">
                  <c:v>0</c:v>
                </c:pt>
                <c:pt idx="3">
                  <c:v>0</c:v>
                </c:pt>
                <c:pt idx="4">
                  <c:v>0</c:v>
                </c:pt>
                <c:pt idx="5">
                  <c:v>0</c:v>
                </c:pt>
                <c:pt idx="6">
                  <c:v>3.7045816047474352E-4</c:v>
                </c:pt>
                <c:pt idx="7">
                  <c:v>0</c:v>
                </c:pt>
                <c:pt idx="8">
                  <c:v>0</c:v>
                </c:pt>
                <c:pt idx="9">
                  <c:v>0</c:v>
                </c:pt>
                <c:pt idx="10">
                  <c:v>0</c:v>
                </c:pt>
                <c:pt idx="11">
                  <c:v>0</c:v>
                </c:pt>
              </c:numCache>
            </c:numRef>
          </c:val>
          <c:extLst>
            <c:ext xmlns:c16="http://schemas.microsoft.com/office/drawing/2014/chart" uri="{C3380CC4-5D6E-409C-BE32-E72D297353CC}">
              <c16:uniqueId val="{0000001C-C5AF-419B-8360-F3658EC65968}"/>
            </c:ext>
          </c:extLst>
        </c:ser>
        <c:ser>
          <c:idx val="34"/>
          <c:order val="34"/>
          <c:tx>
            <c:strRef>
              <c:f>visualization!$AJ$231:$AJ$232</c:f>
              <c:strCache>
                <c:ptCount val="1"/>
                <c:pt idx="0">
                  <c:v>Ice-find</c:v>
                </c:pt>
              </c:strCache>
            </c:strRef>
          </c:tx>
          <c:spPr>
            <a:solidFill>
              <a:schemeClr val="accent5">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visualization!$AJ$233:$AJ$245</c:f>
              <c:numCache>
                <c:formatCode>General</c:formatCode>
                <c:ptCount val="12"/>
                <c:pt idx="0">
                  <c:v>0</c:v>
                </c:pt>
                <c:pt idx="1">
                  <c:v>0</c:v>
                </c:pt>
                <c:pt idx="2">
                  <c:v>0</c:v>
                </c:pt>
                <c:pt idx="3">
                  <c:v>0</c:v>
                </c:pt>
                <c:pt idx="4">
                  <c:v>0</c:v>
                </c:pt>
                <c:pt idx="5">
                  <c:v>0</c:v>
                </c:pt>
                <c:pt idx="6">
                  <c:v>0</c:v>
                </c:pt>
                <c:pt idx="7">
                  <c:v>0</c:v>
                </c:pt>
                <c:pt idx="8">
                  <c:v>1.3382846046194926E-3</c:v>
                </c:pt>
                <c:pt idx="9">
                  <c:v>0</c:v>
                </c:pt>
                <c:pt idx="10">
                  <c:v>0</c:v>
                </c:pt>
                <c:pt idx="11">
                  <c:v>0</c:v>
                </c:pt>
              </c:numCache>
            </c:numRef>
          </c:val>
          <c:extLst>
            <c:ext xmlns:c16="http://schemas.microsoft.com/office/drawing/2014/chart" uri="{C3380CC4-5D6E-409C-BE32-E72D297353CC}">
              <c16:uniqueId val="{0000001D-C5AF-419B-8360-F3658EC65968}"/>
            </c:ext>
          </c:extLst>
        </c:ser>
        <c:ser>
          <c:idx val="35"/>
          <c:order val="35"/>
          <c:tx>
            <c:strRef>
              <c:f>visualization!$AK$231:$AK$232</c:f>
              <c:strCache>
                <c:ptCount val="1"/>
                <c:pt idx="0">
                  <c:v>ice-lex</c:v>
                </c:pt>
              </c:strCache>
            </c:strRef>
          </c:tx>
          <c:spPr>
            <a:solidFill>
              <a:schemeClr val="accent6">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visualization!$AK$233:$AK$245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1.5118204390905301E-3</c:v>
                </c:pt>
              </c:numCache>
            </c:numRef>
          </c:val>
          <c:extLst>
            <c:ext xmlns:c16="http://schemas.microsoft.com/office/drawing/2014/chart" uri="{C3380CC4-5D6E-409C-BE32-E72D297353CC}">
              <c16:uniqueId val="{0000001E-C5AF-419B-8360-F3658EC65968}"/>
            </c:ext>
          </c:extLst>
        </c:ser>
        <c:ser>
          <c:idx val="36"/>
          <c:order val="36"/>
          <c:tx>
            <c:strRef>
              <c:f>visualization!$AL$231:$AL$232</c:f>
              <c:strCache>
                <c:ptCount val="1"/>
                <c:pt idx="0">
                  <c:v>Indiity</c:v>
                </c:pt>
              </c:strCache>
            </c:strRef>
          </c:tx>
          <c:spPr>
            <a:solidFill>
              <a:schemeClr val="accent1">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visualization!$AL$233:$AL$245</c:f>
              <c:numCache>
                <c:formatCode>General</c:formatCode>
                <c:ptCount val="12"/>
                <c:pt idx="0">
                  <c:v>0</c:v>
                </c:pt>
                <c:pt idx="1">
                  <c:v>0</c:v>
                </c:pt>
                <c:pt idx="2">
                  <c:v>0</c:v>
                </c:pt>
                <c:pt idx="3">
                  <c:v>0</c:v>
                </c:pt>
                <c:pt idx="4">
                  <c:v>0</c:v>
                </c:pt>
                <c:pt idx="5">
                  <c:v>0</c:v>
                </c:pt>
                <c:pt idx="6">
                  <c:v>9.4339640849806731E-3</c:v>
                </c:pt>
                <c:pt idx="7">
                  <c:v>0</c:v>
                </c:pt>
                <c:pt idx="8">
                  <c:v>0</c:v>
                </c:pt>
                <c:pt idx="9">
                  <c:v>0</c:v>
                </c:pt>
                <c:pt idx="10">
                  <c:v>0</c:v>
                </c:pt>
                <c:pt idx="11">
                  <c:v>0</c:v>
                </c:pt>
              </c:numCache>
            </c:numRef>
          </c:val>
          <c:extLst>
            <c:ext xmlns:c16="http://schemas.microsoft.com/office/drawing/2014/chart" uri="{C3380CC4-5D6E-409C-BE32-E72D297353CC}">
              <c16:uniqueId val="{0000001F-C5AF-419B-8360-F3658EC65968}"/>
            </c:ext>
          </c:extLst>
        </c:ser>
        <c:ser>
          <c:idx val="37"/>
          <c:order val="37"/>
          <c:tx>
            <c:strRef>
              <c:f>visualization!$AM$231:$AM$232</c:f>
              <c:strCache>
                <c:ptCount val="1"/>
                <c:pt idx="0">
                  <c:v>Indikaylax</c:v>
                </c:pt>
              </c:strCache>
            </c:strRef>
          </c:tx>
          <c:spPr>
            <a:solidFill>
              <a:schemeClr val="accent2">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visualization!$AM$233:$AM$245</c:f>
              <c:numCache>
                <c:formatCode>General</c:formatCode>
                <c:ptCount val="12"/>
                <c:pt idx="0">
                  <c:v>0</c:v>
                </c:pt>
                <c:pt idx="1">
                  <c:v>0</c:v>
                </c:pt>
                <c:pt idx="2">
                  <c:v>0</c:v>
                </c:pt>
                <c:pt idx="3">
                  <c:v>0</c:v>
                </c:pt>
                <c:pt idx="4">
                  <c:v>7.6247682714549879E-4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0-C5AF-419B-8360-F3658EC65968}"/>
            </c:ext>
          </c:extLst>
        </c:ser>
        <c:ser>
          <c:idx val="38"/>
          <c:order val="38"/>
          <c:tx>
            <c:strRef>
              <c:f>visualization!$AN$231:$AN$232</c:f>
              <c:strCache>
                <c:ptCount val="1"/>
                <c:pt idx="0">
                  <c:v>Intechi</c:v>
                </c:pt>
              </c:strCache>
            </c:strRef>
          </c:tx>
          <c:spPr>
            <a:solidFill>
              <a:schemeClr val="accent3">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visualization!$AN$233:$AN$245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2.6263394320802624E-4</c:v>
                </c:pt>
              </c:numCache>
            </c:numRef>
          </c:val>
          <c:extLst>
            <c:ext xmlns:c16="http://schemas.microsoft.com/office/drawing/2014/chart" uri="{C3380CC4-5D6E-409C-BE32-E72D297353CC}">
              <c16:uniqueId val="{00000021-C5AF-419B-8360-F3658EC65968}"/>
            </c:ext>
          </c:extLst>
        </c:ser>
        <c:ser>
          <c:idx val="39"/>
          <c:order val="39"/>
          <c:tx>
            <c:strRef>
              <c:f>visualization!$AO$231:$AO$232</c:f>
              <c:strCache>
                <c:ptCount val="1"/>
                <c:pt idx="0">
                  <c:v>Is-technology</c:v>
                </c:pt>
              </c:strCache>
            </c:strRef>
          </c:tx>
          <c:spPr>
            <a:solidFill>
              <a:schemeClr val="accent4">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visualization!$AO$233:$AO$245</c:f>
              <c:numCache>
                <c:formatCode>General</c:formatCode>
                <c:ptCount val="12"/>
                <c:pt idx="0">
                  <c:v>0</c:v>
                </c:pt>
                <c:pt idx="1">
                  <c:v>0</c:v>
                </c:pt>
                <c:pt idx="2">
                  <c:v>0</c:v>
                </c:pt>
                <c:pt idx="3">
                  <c:v>0</c:v>
                </c:pt>
                <c:pt idx="4">
                  <c:v>0</c:v>
                </c:pt>
                <c:pt idx="5">
                  <c:v>0</c:v>
                </c:pt>
                <c:pt idx="6">
                  <c:v>0</c:v>
                </c:pt>
                <c:pt idx="7">
                  <c:v>1.7833739520012517E-3</c:v>
                </c:pt>
                <c:pt idx="8">
                  <c:v>5.7538294311835127E-3</c:v>
                </c:pt>
                <c:pt idx="9">
                  <c:v>0</c:v>
                </c:pt>
                <c:pt idx="10">
                  <c:v>0</c:v>
                </c:pt>
                <c:pt idx="11">
                  <c:v>3.1679891394382452E-3</c:v>
                </c:pt>
              </c:numCache>
            </c:numRef>
          </c:val>
          <c:extLst>
            <c:ext xmlns:c16="http://schemas.microsoft.com/office/drawing/2014/chart" uri="{C3380CC4-5D6E-409C-BE32-E72D297353CC}">
              <c16:uniqueId val="{00000022-C5AF-419B-8360-F3658EC65968}"/>
            </c:ext>
          </c:extLst>
        </c:ser>
        <c:ser>
          <c:idx val="40"/>
          <c:order val="40"/>
          <c:tx>
            <c:strRef>
              <c:f>visualization!$AP$231:$AP$232</c:f>
              <c:strCache>
                <c:ptCount val="1"/>
                <c:pt idx="0">
                  <c:v>Jaytam</c:v>
                </c:pt>
              </c:strCache>
            </c:strRef>
          </c:tx>
          <c:spPr>
            <a:solidFill>
              <a:schemeClr val="accent5">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visualization!$AP$233:$AP$245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1.3061129983614123E-3</c:v>
                </c:pt>
              </c:numCache>
            </c:numRef>
          </c:val>
          <c:extLst>
            <c:ext xmlns:c16="http://schemas.microsoft.com/office/drawing/2014/chart" uri="{C3380CC4-5D6E-409C-BE32-E72D297353CC}">
              <c16:uniqueId val="{00000023-C5AF-419B-8360-F3658EC65968}"/>
            </c:ext>
          </c:extLst>
        </c:ser>
        <c:ser>
          <c:idx val="41"/>
          <c:order val="41"/>
          <c:tx>
            <c:strRef>
              <c:f>visualization!$AQ$231:$AQ$232</c:f>
              <c:strCache>
                <c:ptCount val="1"/>
                <c:pt idx="0">
                  <c:v>Jobice</c:v>
                </c:pt>
              </c:strCache>
            </c:strRef>
          </c:tx>
          <c:spPr>
            <a:solidFill>
              <a:schemeClr val="accent6">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visualization!$AQ$233:$AQ$245</c:f>
              <c:numCache>
                <c:formatCode>General</c:formatCode>
                <c:ptCount val="12"/>
                <c:pt idx="0">
                  <c:v>0</c:v>
                </c:pt>
                <c:pt idx="1">
                  <c:v>4.3931971081623E-3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4-C5AF-419B-8360-F3658EC65968}"/>
            </c:ext>
          </c:extLst>
        </c:ser>
        <c:ser>
          <c:idx val="42"/>
          <c:order val="42"/>
          <c:tx>
            <c:strRef>
              <c:f>visualization!$AR$231:$AR$232</c:f>
              <c:strCache>
                <c:ptCount val="1"/>
                <c:pt idx="0">
                  <c:v>Joblamcon</c:v>
                </c:pt>
              </c:strCache>
            </c:strRef>
          </c:tx>
          <c:spPr>
            <a:solidFill>
              <a:schemeClr val="accent1">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visualization!$AR$233:$AR$245</c:f>
              <c:numCache>
                <c:formatCode>General</c:formatCode>
                <c:ptCount val="12"/>
                <c:pt idx="0">
                  <c:v>2.939630589157053E-2</c:v>
                </c:pt>
                <c:pt idx="1">
                  <c:v>0</c:v>
                </c:pt>
                <c:pt idx="2">
                  <c:v>0</c:v>
                </c:pt>
                <c:pt idx="3">
                  <c:v>0</c:v>
                </c:pt>
                <c:pt idx="4">
                  <c:v>1.6470476650419612E-2</c:v>
                </c:pt>
                <c:pt idx="5">
                  <c:v>1.7333762181097759E-3</c:v>
                </c:pt>
                <c:pt idx="6">
                  <c:v>0</c:v>
                </c:pt>
                <c:pt idx="7">
                  <c:v>2.1067815449414278E-3</c:v>
                </c:pt>
                <c:pt idx="8">
                  <c:v>1.4375058719687307E-3</c:v>
                </c:pt>
                <c:pt idx="9">
                  <c:v>2.6445407324728518E-3</c:v>
                </c:pt>
                <c:pt idx="10">
                  <c:v>3.5736528176746117E-3</c:v>
                </c:pt>
                <c:pt idx="11">
                  <c:v>3.1952683194261381E-3</c:v>
                </c:pt>
              </c:numCache>
            </c:numRef>
          </c:val>
          <c:extLst>
            <c:ext xmlns:c16="http://schemas.microsoft.com/office/drawing/2014/chart" uri="{C3380CC4-5D6E-409C-BE32-E72D297353CC}">
              <c16:uniqueId val="{00000025-C5AF-419B-8360-F3658EC65968}"/>
            </c:ext>
          </c:extLst>
        </c:ser>
        <c:ser>
          <c:idx val="43"/>
          <c:order val="43"/>
          <c:tx>
            <c:strRef>
              <c:f>visualization!$AS$231:$AS$232</c:f>
              <c:strCache>
                <c:ptCount val="1"/>
                <c:pt idx="0">
                  <c:v>kan-dom</c:v>
                </c:pt>
              </c:strCache>
            </c:strRef>
          </c:tx>
          <c:spPr>
            <a:solidFill>
              <a:schemeClr val="accent2">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visualization!$AS$233:$AS$245</c:f>
              <c:numCache>
                <c:formatCode>General</c:formatCode>
                <c:ptCount val="12"/>
                <c:pt idx="0">
                  <c:v>0</c:v>
                </c:pt>
                <c:pt idx="1">
                  <c:v>0</c:v>
                </c:pt>
                <c:pt idx="2">
                  <c:v>0</c:v>
                </c:pt>
                <c:pt idx="3">
                  <c:v>0</c:v>
                </c:pt>
                <c:pt idx="4">
                  <c:v>0</c:v>
                </c:pt>
                <c:pt idx="5">
                  <c:v>0</c:v>
                </c:pt>
                <c:pt idx="6">
                  <c:v>0</c:v>
                </c:pt>
                <c:pt idx="7">
                  <c:v>0</c:v>
                </c:pt>
                <c:pt idx="8">
                  <c:v>0</c:v>
                </c:pt>
                <c:pt idx="9">
                  <c:v>0</c:v>
                </c:pt>
                <c:pt idx="10">
                  <c:v>1.0764226932165138E-3</c:v>
                </c:pt>
                <c:pt idx="11">
                  <c:v>1.7817518177591859E-3</c:v>
                </c:pt>
              </c:numCache>
            </c:numRef>
          </c:val>
          <c:extLst>
            <c:ext xmlns:c16="http://schemas.microsoft.com/office/drawing/2014/chart" uri="{C3380CC4-5D6E-409C-BE32-E72D297353CC}">
              <c16:uniqueId val="{00000026-C5AF-419B-8360-F3658EC65968}"/>
            </c:ext>
          </c:extLst>
        </c:ser>
        <c:ser>
          <c:idx val="44"/>
          <c:order val="44"/>
          <c:tx>
            <c:strRef>
              <c:f>visualization!$AT$231:$AT$232</c:f>
              <c:strCache>
                <c:ptCount val="1"/>
                <c:pt idx="0">
                  <c:v>Kanlam</c:v>
                </c:pt>
              </c:strCache>
            </c:strRef>
          </c:tx>
          <c:spPr>
            <a:solidFill>
              <a:schemeClr val="accent3">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visualization!$AT$233:$AT$245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3.1735928759108359E-3</c:v>
                </c:pt>
              </c:numCache>
            </c:numRef>
          </c:val>
          <c:extLst>
            <c:ext xmlns:c16="http://schemas.microsoft.com/office/drawing/2014/chart" uri="{C3380CC4-5D6E-409C-BE32-E72D297353CC}">
              <c16:uniqueId val="{00000027-C5AF-419B-8360-F3658EC65968}"/>
            </c:ext>
          </c:extLst>
        </c:ser>
        <c:ser>
          <c:idx val="45"/>
          <c:order val="45"/>
          <c:tx>
            <c:strRef>
              <c:f>visualization!$AU$231:$AU$232</c:f>
              <c:strCache>
                <c:ptCount val="1"/>
                <c:pt idx="0">
                  <c:v>Konkdom</c:v>
                </c:pt>
              </c:strCache>
            </c:strRef>
          </c:tx>
          <c:spPr>
            <a:solidFill>
              <a:schemeClr val="accent4">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visualization!$AU$233:$AU$245</c:f>
              <c:numCache>
                <c:formatCode>General</c:formatCode>
                <c:ptCount val="12"/>
                <c:pt idx="0">
                  <c:v>0</c:v>
                </c:pt>
                <c:pt idx="1">
                  <c:v>0</c:v>
                </c:pt>
                <c:pt idx="2">
                  <c:v>0</c:v>
                </c:pt>
                <c:pt idx="3">
                  <c:v>0</c:v>
                </c:pt>
                <c:pt idx="4">
                  <c:v>0</c:v>
                </c:pt>
                <c:pt idx="5">
                  <c:v>3.9211061652618786E-3</c:v>
                </c:pt>
                <c:pt idx="6">
                  <c:v>0</c:v>
                </c:pt>
                <c:pt idx="7">
                  <c:v>0</c:v>
                </c:pt>
                <c:pt idx="8">
                  <c:v>0</c:v>
                </c:pt>
                <c:pt idx="9">
                  <c:v>0</c:v>
                </c:pt>
                <c:pt idx="10">
                  <c:v>1.9887604356878218E-3</c:v>
                </c:pt>
                <c:pt idx="11">
                  <c:v>0</c:v>
                </c:pt>
              </c:numCache>
            </c:numRef>
          </c:val>
          <c:extLst>
            <c:ext xmlns:c16="http://schemas.microsoft.com/office/drawing/2014/chart" uri="{C3380CC4-5D6E-409C-BE32-E72D297353CC}">
              <c16:uniqueId val="{00000028-C5AF-419B-8360-F3658EC65968}"/>
            </c:ext>
          </c:extLst>
        </c:ser>
        <c:ser>
          <c:idx val="46"/>
          <c:order val="46"/>
          <c:tx>
            <c:strRef>
              <c:f>visualization!$AV$231:$AV$232</c:f>
              <c:strCache>
                <c:ptCount val="1"/>
                <c:pt idx="0">
                  <c:v>Konktom</c:v>
                </c:pt>
              </c:strCache>
            </c:strRef>
          </c:tx>
          <c:spPr>
            <a:solidFill>
              <a:schemeClr val="accent5">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visualization!$AV$233:$AV$245</c:f>
              <c:numCache>
                <c:formatCode>General</c:formatCode>
                <c:ptCount val="12"/>
                <c:pt idx="0">
                  <c:v>0</c:v>
                </c:pt>
                <c:pt idx="1">
                  <c:v>0</c:v>
                </c:pt>
                <c:pt idx="2">
                  <c:v>1.3402927547640821E-3</c:v>
                </c:pt>
                <c:pt idx="3">
                  <c:v>0</c:v>
                </c:pt>
                <c:pt idx="4">
                  <c:v>2.5327305757182781E-3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9-C5AF-419B-8360-F3658EC65968}"/>
            </c:ext>
          </c:extLst>
        </c:ser>
        <c:ser>
          <c:idx val="47"/>
          <c:order val="47"/>
          <c:tx>
            <c:strRef>
              <c:f>visualization!$AW$231:$AW$232</c:f>
              <c:strCache>
                <c:ptCount val="1"/>
                <c:pt idx="0">
                  <c:v>Konzozdax</c:v>
                </c:pt>
              </c:strCache>
            </c:strRef>
          </c:tx>
          <c:spPr>
            <a:solidFill>
              <a:schemeClr val="accent6">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visualization!$AW$233:$AW$245</c:f>
              <c:numCache>
                <c:formatCode>General</c:formatCode>
                <c:ptCount val="12"/>
                <c:pt idx="0">
                  <c:v>0</c:v>
                </c:pt>
                <c:pt idx="1">
                  <c:v>0</c:v>
                </c:pt>
                <c:pt idx="2">
                  <c:v>0</c:v>
                </c:pt>
                <c:pt idx="3">
                  <c:v>2.5025866372627801E-3</c:v>
                </c:pt>
                <c:pt idx="4">
                  <c:v>0</c:v>
                </c:pt>
                <c:pt idx="5">
                  <c:v>7.3677424019768839E-4</c:v>
                </c:pt>
                <c:pt idx="6">
                  <c:v>0</c:v>
                </c:pt>
                <c:pt idx="7">
                  <c:v>0</c:v>
                </c:pt>
                <c:pt idx="8">
                  <c:v>0</c:v>
                </c:pt>
                <c:pt idx="9">
                  <c:v>0</c:v>
                </c:pt>
                <c:pt idx="10">
                  <c:v>0</c:v>
                </c:pt>
                <c:pt idx="11">
                  <c:v>0</c:v>
                </c:pt>
              </c:numCache>
            </c:numRef>
          </c:val>
          <c:extLst>
            <c:ext xmlns:c16="http://schemas.microsoft.com/office/drawing/2014/chart" uri="{C3380CC4-5D6E-409C-BE32-E72D297353CC}">
              <c16:uniqueId val="{0000002A-C5AF-419B-8360-F3658EC65968}"/>
            </c:ext>
          </c:extLst>
        </c:ser>
        <c:ser>
          <c:idx val="48"/>
          <c:order val="48"/>
          <c:tx>
            <c:strRef>
              <c:f>visualization!$AX$231:$AX$232</c:f>
              <c:strCache>
                <c:ptCount val="1"/>
                <c:pt idx="0">
                  <c:v>Lamtafan</c:v>
                </c:pt>
              </c:strCache>
            </c:strRef>
          </c:tx>
          <c:spPr>
            <a:solidFill>
              <a:schemeClr val="accent1">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visualization!$AX$233:$AX$245</c:f>
              <c:numCache>
                <c:formatCode>General</c:formatCode>
                <c:ptCount val="12"/>
                <c:pt idx="0">
                  <c:v>0</c:v>
                </c:pt>
                <c:pt idx="1">
                  <c:v>5.7960287763925448E-4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B-C5AF-419B-8360-F3658EC65968}"/>
            </c:ext>
          </c:extLst>
        </c:ser>
        <c:ser>
          <c:idx val="49"/>
          <c:order val="49"/>
          <c:tx>
            <c:strRef>
              <c:f>visualization!$AY$231:$AY$232</c:f>
              <c:strCache>
                <c:ptCount val="1"/>
                <c:pt idx="0">
                  <c:v>lanequote</c:v>
                </c:pt>
              </c:strCache>
            </c:strRef>
          </c:tx>
          <c:spPr>
            <a:solidFill>
              <a:schemeClr val="accent2">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visualization!$AY$233:$AY$245</c:f>
              <c:numCache>
                <c:formatCode>General</c:formatCode>
                <c:ptCount val="12"/>
                <c:pt idx="0">
                  <c:v>0</c:v>
                </c:pt>
                <c:pt idx="1">
                  <c:v>0</c:v>
                </c:pt>
                <c:pt idx="2">
                  <c:v>0</c:v>
                </c:pt>
                <c:pt idx="3">
                  <c:v>0</c:v>
                </c:pt>
                <c:pt idx="4">
                  <c:v>3.5267822463193109E-3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C-C5AF-419B-8360-F3658EC65968}"/>
            </c:ext>
          </c:extLst>
        </c:ser>
        <c:ser>
          <c:idx val="50"/>
          <c:order val="50"/>
          <c:tx>
            <c:strRef>
              <c:f>visualization!$AZ$231:$AZ$232</c:f>
              <c:strCache>
                <c:ptCount val="1"/>
                <c:pt idx="0">
                  <c:v>Mathredex</c:v>
                </c:pt>
              </c:strCache>
            </c:strRef>
          </c:tx>
          <c:spPr>
            <a:solidFill>
              <a:schemeClr val="accent3">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visualization!$AZ$233:$AZ$245</c:f>
              <c:numCache>
                <c:formatCode>General</c:formatCode>
                <c:ptCount val="12"/>
                <c:pt idx="0">
                  <c:v>0</c:v>
                </c:pt>
                <c:pt idx="1">
                  <c:v>4.366247559731618E-3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2D-C5AF-419B-8360-F3658EC65968}"/>
            </c:ext>
          </c:extLst>
        </c:ser>
        <c:ser>
          <c:idx val="51"/>
          <c:order val="51"/>
          <c:tx>
            <c:strRef>
              <c:f>visualization!$BA$231:$BA$232</c:f>
              <c:strCache>
                <c:ptCount val="1"/>
                <c:pt idx="0">
                  <c:v>Medfax</c:v>
                </c:pt>
              </c:strCache>
            </c:strRef>
          </c:tx>
          <c:spPr>
            <a:solidFill>
              <a:schemeClr val="accent4">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visualization!$BA$233:$BA$245</c:f>
              <c:numCache>
                <c:formatCode>General</c:formatCode>
                <c:ptCount val="12"/>
                <c:pt idx="0">
                  <c:v>8.3298761958737423E-4</c:v>
                </c:pt>
                <c:pt idx="1">
                  <c:v>0</c:v>
                </c:pt>
                <c:pt idx="2">
                  <c:v>0</c:v>
                </c:pt>
                <c:pt idx="3">
                  <c:v>0</c:v>
                </c:pt>
                <c:pt idx="4">
                  <c:v>0</c:v>
                </c:pt>
                <c:pt idx="5">
                  <c:v>4.1728926278832568E-3</c:v>
                </c:pt>
                <c:pt idx="6">
                  <c:v>0</c:v>
                </c:pt>
                <c:pt idx="7">
                  <c:v>0</c:v>
                </c:pt>
                <c:pt idx="8">
                  <c:v>0</c:v>
                </c:pt>
                <c:pt idx="9">
                  <c:v>0</c:v>
                </c:pt>
                <c:pt idx="10">
                  <c:v>1.520776875480545E-3</c:v>
                </c:pt>
                <c:pt idx="11">
                  <c:v>0</c:v>
                </c:pt>
              </c:numCache>
            </c:numRef>
          </c:val>
          <c:extLst>
            <c:ext xmlns:c16="http://schemas.microsoft.com/office/drawing/2014/chart" uri="{C3380CC4-5D6E-409C-BE32-E72D297353CC}">
              <c16:uniqueId val="{0000002E-C5AF-419B-8360-F3658EC65968}"/>
            </c:ext>
          </c:extLst>
        </c:ser>
        <c:ser>
          <c:idx val="52"/>
          <c:order val="52"/>
          <c:tx>
            <c:strRef>
              <c:f>visualization!$BB$231:$BB$232</c:f>
              <c:strCache>
                <c:ptCount val="1"/>
                <c:pt idx="0">
                  <c:v>mediaphase</c:v>
                </c:pt>
              </c:strCache>
            </c:strRef>
          </c:tx>
          <c:spPr>
            <a:solidFill>
              <a:schemeClr val="accent5">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visualization!$BB$233:$BB$245</c:f>
              <c:numCache>
                <c:formatCode>General</c:formatCode>
                <c:ptCount val="12"/>
                <c:pt idx="0">
                  <c:v>0</c:v>
                </c:pt>
                <c:pt idx="1">
                  <c:v>0</c:v>
                </c:pt>
                <c:pt idx="2">
                  <c:v>0</c:v>
                </c:pt>
                <c:pt idx="3">
                  <c:v>0</c:v>
                </c:pt>
                <c:pt idx="4">
                  <c:v>0</c:v>
                </c:pt>
                <c:pt idx="5">
                  <c:v>0</c:v>
                </c:pt>
                <c:pt idx="6">
                  <c:v>0</c:v>
                </c:pt>
                <c:pt idx="7">
                  <c:v>0</c:v>
                </c:pt>
                <c:pt idx="8">
                  <c:v>0</c:v>
                </c:pt>
                <c:pt idx="9">
                  <c:v>0</c:v>
                </c:pt>
                <c:pt idx="10">
                  <c:v>2.5782392482714168E-3</c:v>
                </c:pt>
                <c:pt idx="11">
                  <c:v>0</c:v>
                </c:pt>
              </c:numCache>
            </c:numRef>
          </c:val>
          <c:extLst>
            <c:ext xmlns:c16="http://schemas.microsoft.com/office/drawing/2014/chart" uri="{C3380CC4-5D6E-409C-BE32-E72D297353CC}">
              <c16:uniqueId val="{0000002F-C5AF-419B-8360-F3658EC65968}"/>
            </c:ext>
          </c:extLst>
        </c:ser>
        <c:ser>
          <c:idx val="53"/>
          <c:order val="53"/>
          <c:tx>
            <c:strRef>
              <c:f>visualization!$BC$231:$BC$232</c:f>
              <c:strCache>
                <c:ptCount val="1"/>
                <c:pt idx="0">
                  <c:v>movedex</c:v>
                </c:pt>
              </c:strCache>
            </c:strRef>
          </c:tx>
          <c:spPr>
            <a:solidFill>
              <a:schemeClr val="accent6">
                <a:lumMod val="50000"/>
                <a:lumOff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visualization!$BC$233:$BC$245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1.0300747613696858E-3</c:v>
                </c:pt>
              </c:numCache>
            </c:numRef>
          </c:val>
          <c:extLst>
            <c:ext xmlns:c16="http://schemas.microsoft.com/office/drawing/2014/chart" uri="{C3380CC4-5D6E-409C-BE32-E72D297353CC}">
              <c16:uniqueId val="{00000030-C5AF-419B-8360-F3658EC65968}"/>
            </c:ext>
          </c:extLst>
        </c:ser>
        <c:ser>
          <c:idx val="54"/>
          <c:order val="54"/>
          <c:tx>
            <c:strRef>
              <c:f>visualization!$BD$231:$BD$232</c:f>
              <c:strCache>
                <c:ptCount val="1"/>
                <c:pt idx="0">
                  <c:v>Movestreet</c:v>
                </c:pt>
              </c:strCache>
            </c:strRef>
          </c:tx>
          <c:spPr>
            <a:solidFill>
              <a:schemeClr val="accent1"/>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visualization!$BD$233:$BD$245</c:f>
              <c:numCache>
                <c:formatCode>General</c:formatCode>
                <c:ptCount val="12"/>
                <c:pt idx="0">
                  <c:v>1.1804073534303202E-2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1-C5AF-419B-8360-F3658EC65968}"/>
            </c:ext>
          </c:extLst>
        </c:ser>
        <c:ser>
          <c:idx val="55"/>
          <c:order val="55"/>
          <c:tx>
            <c:strRef>
              <c:f>visualization!$BE$231:$BE$232</c:f>
              <c:strCache>
                <c:ptCount val="1"/>
                <c:pt idx="0">
                  <c:v>Nimdax</c:v>
                </c:pt>
              </c:strCache>
            </c:strRef>
          </c:tx>
          <c:spPr>
            <a:solidFill>
              <a:schemeClr val="accent2"/>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visualization!$BE$233:$BE$245</c:f>
              <c:numCache>
                <c:formatCode>General</c:formatCode>
                <c:ptCount val="12"/>
                <c:pt idx="0">
                  <c:v>9.5199892468981334E-3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2-C5AF-419B-8360-F3658EC65968}"/>
            </c:ext>
          </c:extLst>
        </c:ser>
        <c:ser>
          <c:idx val="56"/>
          <c:order val="56"/>
          <c:tx>
            <c:strRef>
              <c:f>visualization!$BF$231:$BF$232</c:f>
              <c:strCache>
                <c:ptCount val="1"/>
                <c:pt idx="0">
                  <c:v>Operon</c:v>
                </c:pt>
              </c:strCache>
            </c:strRef>
          </c:tx>
          <c:spPr>
            <a:solidFill>
              <a:schemeClr val="accent3"/>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visualization!$BF$233:$BF$245</c:f>
              <c:numCache>
                <c:formatCode>General</c:formatCode>
                <c:ptCount val="12"/>
                <c:pt idx="0">
                  <c:v>4.5886187431292283E-3</c:v>
                </c:pt>
                <c:pt idx="1">
                  <c:v>0</c:v>
                </c:pt>
                <c:pt idx="2">
                  <c:v>0</c:v>
                </c:pt>
                <c:pt idx="3">
                  <c:v>0</c:v>
                </c:pt>
                <c:pt idx="4">
                  <c:v>0</c:v>
                </c:pt>
                <c:pt idx="5">
                  <c:v>0</c:v>
                </c:pt>
                <c:pt idx="6">
                  <c:v>5.6232541305832248E-6</c:v>
                </c:pt>
                <c:pt idx="7">
                  <c:v>0</c:v>
                </c:pt>
                <c:pt idx="8">
                  <c:v>0</c:v>
                </c:pt>
                <c:pt idx="9">
                  <c:v>0</c:v>
                </c:pt>
                <c:pt idx="10">
                  <c:v>0</c:v>
                </c:pt>
                <c:pt idx="11">
                  <c:v>1.2825400047634795E-3</c:v>
                </c:pt>
              </c:numCache>
            </c:numRef>
          </c:val>
          <c:extLst>
            <c:ext xmlns:c16="http://schemas.microsoft.com/office/drawing/2014/chart" uri="{C3380CC4-5D6E-409C-BE32-E72D297353CC}">
              <c16:uniqueId val="{00000033-C5AF-419B-8360-F3658EC65968}"/>
            </c:ext>
          </c:extLst>
        </c:ser>
        <c:ser>
          <c:idx val="57"/>
          <c:order val="57"/>
          <c:tx>
            <c:strRef>
              <c:f>visualization!$BG$231:$BG$232</c:f>
              <c:strCache>
                <c:ptCount val="1"/>
                <c:pt idx="0">
                  <c:v>Overhigh</c:v>
                </c:pt>
              </c:strCache>
            </c:strRef>
          </c:tx>
          <c:spPr>
            <a:solidFill>
              <a:schemeClr val="accent4"/>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visualization!$BG$233:$BG$245</c:f>
              <c:numCache>
                <c:formatCode>General</c:formatCode>
                <c:ptCount val="12"/>
                <c:pt idx="0">
                  <c:v>0</c:v>
                </c:pt>
                <c:pt idx="1">
                  <c:v>0</c:v>
                </c:pt>
                <c:pt idx="2">
                  <c:v>0</c:v>
                </c:pt>
                <c:pt idx="3">
                  <c:v>0</c:v>
                </c:pt>
                <c:pt idx="4">
                  <c:v>0</c:v>
                </c:pt>
                <c:pt idx="5">
                  <c:v>0</c:v>
                </c:pt>
                <c:pt idx="6">
                  <c:v>1.9257465925438353E-3</c:v>
                </c:pt>
                <c:pt idx="7">
                  <c:v>0</c:v>
                </c:pt>
                <c:pt idx="8">
                  <c:v>0</c:v>
                </c:pt>
                <c:pt idx="9">
                  <c:v>0</c:v>
                </c:pt>
                <c:pt idx="10">
                  <c:v>0</c:v>
                </c:pt>
                <c:pt idx="11">
                  <c:v>0</c:v>
                </c:pt>
              </c:numCache>
            </c:numRef>
          </c:val>
          <c:extLst>
            <c:ext xmlns:c16="http://schemas.microsoft.com/office/drawing/2014/chart" uri="{C3380CC4-5D6E-409C-BE32-E72D297353CC}">
              <c16:uniqueId val="{00000034-C5AF-419B-8360-F3658EC65968}"/>
            </c:ext>
          </c:extLst>
        </c:ser>
        <c:ser>
          <c:idx val="58"/>
          <c:order val="58"/>
          <c:tx>
            <c:strRef>
              <c:f>visualization!$BH$231:$BH$232</c:f>
              <c:strCache>
                <c:ptCount val="1"/>
                <c:pt idx="0">
                  <c:v>Planethouse</c:v>
                </c:pt>
              </c:strCache>
            </c:strRef>
          </c:tx>
          <c:spPr>
            <a:solidFill>
              <a:schemeClr val="accent5"/>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visualization!$BH$233:$BH$245</c:f>
              <c:numCache>
                <c:formatCode>General</c:formatCode>
                <c:ptCount val="12"/>
                <c:pt idx="0">
                  <c:v>0</c:v>
                </c:pt>
                <c:pt idx="1">
                  <c:v>0</c:v>
                </c:pt>
                <c:pt idx="2">
                  <c:v>0</c:v>
                </c:pt>
                <c:pt idx="3">
                  <c:v>0</c:v>
                </c:pt>
                <c:pt idx="4">
                  <c:v>3.4534305503251543E-3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5-C5AF-419B-8360-F3658EC65968}"/>
            </c:ext>
          </c:extLst>
        </c:ser>
        <c:ser>
          <c:idx val="59"/>
          <c:order val="59"/>
          <c:tx>
            <c:strRef>
              <c:f>visualization!$BI$231:$BI$232</c:f>
              <c:strCache>
                <c:ptCount val="1"/>
                <c:pt idx="0">
                  <c:v>plexdax</c:v>
                </c:pt>
              </c:strCache>
            </c:strRef>
          </c:tx>
          <c:spPr>
            <a:solidFill>
              <a:schemeClr val="accent6"/>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visualization!$BI$233:$BI$245</c:f>
              <c:numCache>
                <c:formatCode>General</c:formatCode>
                <c:ptCount val="12"/>
                <c:pt idx="0">
                  <c:v>7.0029356878053791E-4</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6-C5AF-419B-8360-F3658EC65968}"/>
            </c:ext>
          </c:extLst>
        </c:ser>
        <c:ser>
          <c:idx val="60"/>
          <c:order val="60"/>
          <c:tx>
            <c:strRef>
              <c:f>visualization!$BJ$231:$BJ$232</c:f>
              <c:strCache>
                <c:ptCount val="1"/>
                <c:pt idx="0">
                  <c:v>plex-holdings</c:v>
                </c:pt>
              </c:strCache>
            </c:strRef>
          </c:tx>
          <c:spPr>
            <a:solidFill>
              <a:schemeClr val="accent1">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visualization!$BJ$233:$BJ$245</c:f>
              <c:numCache>
                <c:formatCode>General</c:formatCode>
                <c:ptCount val="12"/>
                <c:pt idx="0">
                  <c:v>0</c:v>
                </c:pt>
                <c:pt idx="1">
                  <c:v>0</c:v>
                </c:pt>
                <c:pt idx="2">
                  <c:v>0</c:v>
                </c:pt>
                <c:pt idx="3">
                  <c:v>0</c:v>
                </c:pt>
                <c:pt idx="4">
                  <c:v>0</c:v>
                </c:pt>
                <c:pt idx="5">
                  <c:v>0</c:v>
                </c:pt>
                <c:pt idx="6">
                  <c:v>0</c:v>
                </c:pt>
                <c:pt idx="7">
                  <c:v>0</c:v>
                </c:pt>
                <c:pt idx="8">
                  <c:v>1.5457421286819619E-3</c:v>
                </c:pt>
                <c:pt idx="9">
                  <c:v>0</c:v>
                </c:pt>
                <c:pt idx="10">
                  <c:v>0</c:v>
                </c:pt>
                <c:pt idx="11">
                  <c:v>0</c:v>
                </c:pt>
              </c:numCache>
            </c:numRef>
          </c:val>
          <c:extLst>
            <c:ext xmlns:c16="http://schemas.microsoft.com/office/drawing/2014/chart" uri="{C3380CC4-5D6E-409C-BE32-E72D297353CC}">
              <c16:uniqueId val="{00000037-C5AF-419B-8360-F3658EC65968}"/>
            </c:ext>
          </c:extLst>
        </c:ser>
        <c:ser>
          <c:idx val="61"/>
          <c:order val="61"/>
          <c:tx>
            <c:strRef>
              <c:f>visualization!$BK$231:$BK$232</c:f>
              <c:strCache>
                <c:ptCount val="1"/>
                <c:pt idx="0">
                  <c:v>Plexsolfix</c:v>
                </c:pt>
              </c:strCache>
            </c:strRef>
          </c:tx>
          <c:spPr>
            <a:solidFill>
              <a:schemeClr val="accent2">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visualization!$BK$233:$BK$245</c:f>
              <c:numCache>
                <c:formatCode>General</c:formatCode>
                <c:ptCount val="12"/>
                <c:pt idx="0">
                  <c:v>0</c:v>
                </c:pt>
                <c:pt idx="1">
                  <c:v>0</c:v>
                </c:pt>
                <c:pt idx="2">
                  <c:v>0</c:v>
                </c:pt>
                <c:pt idx="3">
                  <c:v>0</c:v>
                </c:pt>
                <c:pt idx="4">
                  <c:v>1.8387433790980703E-3</c:v>
                </c:pt>
                <c:pt idx="5">
                  <c:v>2.107993808365645E-4</c:v>
                </c:pt>
                <c:pt idx="6">
                  <c:v>0</c:v>
                </c:pt>
                <c:pt idx="7">
                  <c:v>0</c:v>
                </c:pt>
                <c:pt idx="8">
                  <c:v>0</c:v>
                </c:pt>
                <c:pt idx="9">
                  <c:v>0</c:v>
                </c:pt>
                <c:pt idx="10">
                  <c:v>0</c:v>
                </c:pt>
                <c:pt idx="11">
                  <c:v>0</c:v>
                </c:pt>
              </c:numCache>
            </c:numRef>
          </c:val>
          <c:extLst>
            <c:ext xmlns:c16="http://schemas.microsoft.com/office/drawing/2014/chart" uri="{C3380CC4-5D6E-409C-BE32-E72D297353CC}">
              <c16:uniqueId val="{00000038-C5AF-419B-8360-F3658EC65968}"/>
            </c:ext>
          </c:extLst>
        </c:ser>
        <c:ser>
          <c:idx val="62"/>
          <c:order val="62"/>
          <c:tx>
            <c:strRef>
              <c:f>visualization!$BL$231:$BL$232</c:f>
              <c:strCache>
                <c:ptCount val="1"/>
                <c:pt idx="0">
                  <c:v>Plextom</c:v>
                </c:pt>
              </c:strCache>
            </c:strRef>
          </c:tx>
          <c:spPr>
            <a:solidFill>
              <a:schemeClr val="accent3">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visualization!$BL$233:$BL$245</c:f>
              <c:numCache>
                <c:formatCode>General</c:formatCode>
                <c:ptCount val="12"/>
                <c:pt idx="0">
                  <c:v>0</c:v>
                </c:pt>
                <c:pt idx="1">
                  <c:v>0</c:v>
                </c:pt>
                <c:pt idx="2">
                  <c:v>0</c:v>
                </c:pt>
                <c:pt idx="3">
                  <c:v>3.6151907311405548E-4</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9-C5AF-419B-8360-F3658EC65968}"/>
            </c:ext>
          </c:extLst>
        </c:ser>
        <c:ser>
          <c:idx val="63"/>
          <c:order val="63"/>
          <c:tx>
            <c:strRef>
              <c:f>visualization!$BM$231:$BM$232</c:f>
              <c:strCache>
                <c:ptCount val="1"/>
                <c:pt idx="0">
                  <c:v>Quadsoloace</c:v>
                </c:pt>
              </c:strCache>
            </c:strRef>
          </c:tx>
          <c:spPr>
            <a:solidFill>
              <a:schemeClr val="accent4">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visualization!$BM$233:$BM$245</c:f>
              <c:numCache>
                <c:formatCode>General</c:formatCode>
                <c:ptCount val="12"/>
                <c:pt idx="0">
                  <c:v>1.1011647945282133E-2</c:v>
                </c:pt>
                <c:pt idx="1">
                  <c:v>0</c:v>
                </c:pt>
                <c:pt idx="2">
                  <c:v>0</c:v>
                </c:pt>
                <c:pt idx="3">
                  <c:v>7.6636691324632415E-3</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3A-C5AF-419B-8360-F3658EC65968}"/>
            </c:ext>
          </c:extLst>
        </c:ser>
        <c:ser>
          <c:idx val="64"/>
          <c:order val="64"/>
          <c:tx>
            <c:strRef>
              <c:f>visualization!$BN$231:$BN$232</c:f>
              <c:strCache>
                <c:ptCount val="1"/>
                <c:pt idx="0">
                  <c:v>Quadtex</c:v>
                </c:pt>
              </c:strCache>
            </c:strRef>
          </c:tx>
          <c:spPr>
            <a:solidFill>
              <a:schemeClr val="accent5">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visualization!$BN$233:$BN$245</c:f>
              <c:numCache>
                <c:formatCode>General</c:formatCode>
                <c:ptCount val="12"/>
                <c:pt idx="0">
                  <c:v>0</c:v>
                </c:pt>
                <c:pt idx="1">
                  <c:v>0</c:v>
                </c:pt>
                <c:pt idx="2">
                  <c:v>3.1743584018298853E-3</c:v>
                </c:pt>
                <c:pt idx="3">
                  <c:v>0</c:v>
                </c:pt>
                <c:pt idx="4">
                  <c:v>0</c:v>
                </c:pt>
                <c:pt idx="5">
                  <c:v>0</c:v>
                </c:pt>
                <c:pt idx="6">
                  <c:v>1.2066076406569463E-3</c:v>
                </c:pt>
                <c:pt idx="7">
                  <c:v>0</c:v>
                </c:pt>
                <c:pt idx="8">
                  <c:v>0</c:v>
                </c:pt>
                <c:pt idx="9">
                  <c:v>0</c:v>
                </c:pt>
                <c:pt idx="10">
                  <c:v>0</c:v>
                </c:pt>
                <c:pt idx="11">
                  <c:v>5.2592281227314313E-3</c:v>
                </c:pt>
              </c:numCache>
            </c:numRef>
          </c:val>
          <c:extLst>
            <c:ext xmlns:c16="http://schemas.microsoft.com/office/drawing/2014/chart" uri="{C3380CC4-5D6E-409C-BE32-E72D297353CC}">
              <c16:uniqueId val="{0000003B-C5AF-419B-8360-F3658EC65968}"/>
            </c:ext>
          </c:extLst>
        </c:ser>
        <c:ser>
          <c:idx val="65"/>
          <c:order val="65"/>
          <c:tx>
            <c:strRef>
              <c:f>visualization!$BO$231:$BO$232</c:f>
              <c:strCache>
                <c:ptCount val="1"/>
                <c:pt idx="0">
                  <c:v>Quadzoom</c:v>
                </c:pt>
              </c:strCache>
            </c:strRef>
          </c:tx>
          <c:spPr>
            <a:solidFill>
              <a:schemeClr val="accent6">
                <a:lumMod val="6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visualization!$BO$233:$BO$245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1.8123381564625202E-3</c:v>
                </c:pt>
              </c:numCache>
            </c:numRef>
          </c:val>
          <c:extLst>
            <c:ext xmlns:c16="http://schemas.microsoft.com/office/drawing/2014/chart" uri="{C3380CC4-5D6E-409C-BE32-E72D297353CC}">
              <c16:uniqueId val="{0000003C-C5AF-419B-8360-F3658EC65968}"/>
            </c:ext>
          </c:extLst>
        </c:ser>
        <c:ser>
          <c:idx val="66"/>
          <c:order val="66"/>
          <c:tx>
            <c:strRef>
              <c:f>visualization!$BP$231:$BP$232</c:f>
              <c:strCache>
                <c:ptCount val="1"/>
                <c:pt idx="0">
                  <c:v>Quofase</c:v>
                </c:pt>
              </c:strCache>
            </c:strRef>
          </c:tx>
          <c:spPr>
            <a:solidFill>
              <a:schemeClr val="accent1">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visualization!$BP$233:$BP$245</c:f>
              <c:numCache>
                <c:formatCode>General</c:formatCode>
                <c:ptCount val="12"/>
                <c:pt idx="0">
                  <c:v>0</c:v>
                </c:pt>
                <c:pt idx="1">
                  <c:v>0</c:v>
                </c:pt>
                <c:pt idx="2">
                  <c:v>0</c:v>
                </c:pt>
                <c:pt idx="3">
                  <c:v>0</c:v>
                </c:pt>
                <c:pt idx="4">
                  <c:v>0</c:v>
                </c:pt>
                <c:pt idx="5">
                  <c:v>0</c:v>
                </c:pt>
                <c:pt idx="6">
                  <c:v>5.4756962989005627E-3</c:v>
                </c:pt>
                <c:pt idx="7">
                  <c:v>0</c:v>
                </c:pt>
                <c:pt idx="8">
                  <c:v>0</c:v>
                </c:pt>
                <c:pt idx="9">
                  <c:v>5.1311922862988696E-5</c:v>
                </c:pt>
                <c:pt idx="10">
                  <c:v>0</c:v>
                </c:pt>
                <c:pt idx="11">
                  <c:v>0</c:v>
                </c:pt>
              </c:numCache>
            </c:numRef>
          </c:val>
          <c:extLst>
            <c:ext xmlns:c16="http://schemas.microsoft.com/office/drawing/2014/chart" uri="{C3380CC4-5D6E-409C-BE32-E72D297353CC}">
              <c16:uniqueId val="{0000003D-C5AF-419B-8360-F3658EC65968}"/>
            </c:ext>
          </c:extLst>
        </c:ser>
        <c:ser>
          <c:idx val="67"/>
          <c:order val="67"/>
          <c:tx>
            <c:strRef>
              <c:f>visualization!$BQ$231:$BQ$232</c:f>
              <c:strCache>
                <c:ptCount val="1"/>
                <c:pt idx="0">
                  <c:v>Quo-planet</c:v>
                </c:pt>
              </c:strCache>
            </c:strRef>
          </c:tx>
          <c:spPr>
            <a:solidFill>
              <a:schemeClr val="accent2">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visualization!$BQ$233:$BQ$245</c:f>
              <c:numCache>
                <c:formatCode>General</c:formatCode>
                <c:ptCount val="12"/>
                <c:pt idx="0">
                  <c:v>0</c:v>
                </c:pt>
                <c:pt idx="1">
                  <c:v>0</c:v>
                </c:pt>
                <c:pt idx="2">
                  <c:v>0</c:v>
                </c:pt>
                <c:pt idx="3">
                  <c:v>0</c:v>
                </c:pt>
                <c:pt idx="4">
                  <c:v>0</c:v>
                </c:pt>
                <c:pt idx="5">
                  <c:v>0</c:v>
                </c:pt>
                <c:pt idx="6">
                  <c:v>0</c:v>
                </c:pt>
                <c:pt idx="7">
                  <c:v>3.4599798088960614E-3</c:v>
                </c:pt>
                <c:pt idx="8">
                  <c:v>0</c:v>
                </c:pt>
                <c:pt idx="9">
                  <c:v>0</c:v>
                </c:pt>
                <c:pt idx="10">
                  <c:v>0</c:v>
                </c:pt>
                <c:pt idx="11">
                  <c:v>0</c:v>
                </c:pt>
              </c:numCache>
            </c:numRef>
          </c:val>
          <c:extLst>
            <c:ext xmlns:c16="http://schemas.microsoft.com/office/drawing/2014/chart" uri="{C3380CC4-5D6E-409C-BE32-E72D297353CC}">
              <c16:uniqueId val="{0000003E-C5AF-419B-8360-F3658EC65968}"/>
            </c:ext>
          </c:extLst>
        </c:ser>
        <c:ser>
          <c:idx val="68"/>
          <c:order val="68"/>
          <c:tx>
            <c:strRef>
              <c:f>visualization!$BR$231:$BR$232</c:f>
              <c:strCache>
                <c:ptCount val="1"/>
                <c:pt idx="0">
                  <c:v>quotechi</c:v>
                </c:pt>
              </c:strCache>
            </c:strRef>
          </c:tx>
          <c:spPr>
            <a:solidFill>
              <a:schemeClr val="accent3">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visualization!$BR$233:$BR$245</c:f>
              <c:numCache>
                <c:formatCode>General</c:formatCode>
                <c:ptCount val="12"/>
                <c:pt idx="0">
                  <c:v>0</c:v>
                </c:pt>
                <c:pt idx="1">
                  <c:v>0</c:v>
                </c:pt>
                <c:pt idx="2">
                  <c:v>2.024072216254072E-3</c:v>
                </c:pt>
                <c:pt idx="3">
                  <c:v>0</c:v>
                </c:pt>
                <c:pt idx="4">
                  <c:v>0</c:v>
                </c:pt>
                <c:pt idx="5">
                  <c:v>0</c:v>
                </c:pt>
                <c:pt idx="6">
                  <c:v>0</c:v>
                </c:pt>
                <c:pt idx="7">
                  <c:v>0</c:v>
                </c:pt>
                <c:pt idx="8">
                  <c:v>0</c:v>
                </c:pt>
                <c:pt idx="9">
                  <c:v>0</c:v>
                </c:pt>
                <c:pt idx="10">
                  <c:v>0</c:v>
                </c:pt>
                <c:pt idx="11">
                  <c:v>2.5028165119013613E-3</c:v>
                </c:pt>
              </c:numCache>
            </c:numRef>
          </c:val>
          <c:extLst>
            <c:ext xmlns:c16="http://schemas.microsoft.com/office/drawing/2014/chart" uri="{C3380CC4-5D6E-409C-BE32-E72D297353CC}">
              <c16:uniqueId val="{0000003F-C5AF-419B-8360-F3658EC65968}"/>
            </c:ext>
          </c:extLst>
        </c:ser>
        <c:ser>
          <c:idx val="69"/>
          <c:order val="69"/>
          <c:tx>
            <c:strRef>
              <c:f>visualization!$BS$231:$BS$232</c:f>
              <c:strCache>
                <c:ptCount val="1"/>
                <c:pt idx="0">
                  <c:v>Quotein</c:v>
                </c:pt>
              </c:strCache>
            </c:strRef>
          </c:tx>
          <c:spPr>
            <a:solidFill>
              <a:schemeClr val="accent4">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visualization!$BS$233:$BS$245</c:f>
              <c:numCache>
                <c:formatCode>General</c:formatCode>
                <c:ptCount val="12"/>
                <c:pt idx="0">
                  <c:v>0</c:v>
                </c:pt>
                <c:pt idx="1">
                  <c:v>0</c:v>
                </c:pt>
                <c:pt idx="2">
                  <c:v>0</c:v>
                </c:pt>
                <c:pt idx="3">
                  <c:v>2.2720722532248533E-4</c:v>
                </c:pt>
                <c:pt idx="4">
                  <c:v>1.0461030958390806E-4</c:v>
                </c:pt>
                <c:pt idx="5">
                  <c:v>0</c:v>
                </c:pt>
                <c:pt idx="6">
                  <c:v>0</c:v>
                </c:pt>
                <c:pt idx="7">
                  <c:v>0</c:v>
                </c:pt>
                <c:pt idx="8">
                  <c:v>0</c:v>
                </c:pt>
                <c:pt idx="9">
                  <c:v>0</c:v>
                </c:pt>
                <c:pt idx="10">
                  <c:v>0</c:v>
                </c:pt>
                <c:pt idx="11">
                  <c:v>1.523934398818042E-3</c:v>
                </c:pt>
              </c:numCache>
            </c:numRef>
          </c:val>
          <c:extLst>
            <c:ext xmlns:c16="http://schemas.microsoft.com/office/drawing/2014/chart" uri="{C3380CC4-5D6E-409C-BE32-E72D297353CC}">
              <c16:uniqueId val="{00000040-C5AF-419B-8360-F3658EC65968}"/>
            </c:ext>
          </c:extLst>
        </c:ser>
        <c:ser>
          <c:idx val="70"/>
          <c:order val="70"/>
          <c:tx>
            <c:strRef>
              <c:f>visualization!$BT$231:$BT$232</c:f>
              <c:strCache>
                <c:ptCount val="1"/>
                <c:pt idx="0">
                  <c:v>Rank-com</c:v>
                </c:pt>
              </c:strCache>
            </c:strRef>
          </c:tx>
          <c:spPr>
            <a:solidFill>
              <a:schemeClr val="accent5">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visualization!$BT$233:$BT$245</c:f>
              <c:numCache>
                <c:formatCode>General</c:formatCode>
                <c:ptCount val="12"/>
                <c:pt idx="0">
                  <c:v>0</c:v>
                </c:pt>
                <c:pt idx="1">
                  <c:v>0</c:v>
                </c:pt>
                <c:pt idx="2">
                  <c:v>0</c:v>
                </c:pt>
                <c:pt idx="3">
                  <c:v>0</c:v>
                </c:pt>
                <c:pt idx="4">
                  <c:v>0</c:v>
                </c:pt>
                <c:pt idx="5">
                  <c:v>0</c:v>
                </c:pt>
                <c:pt idx="6">
                  <c:v>2.0145063952089494E-3</c:v>
                </c:pt>
                <c:pt idx="7">
                  <c:v>0</c:v>
                </c:pt>
                <c:pt idx="8">
                  <c:v>0</c:v>
                </c:pt>
                <c:pt idx="9">
                  <c:v>0</c:v>
                </c:pt>
                <c:pt idx="10">
                  <c:v>0</c:v>
                </c:pt>
                <c:pt idx="11">
                  <c:v>0</c:v>
                </c:pt>
              </c:numCache>
            </c:numRef>
          </c:val>
          <c:extLst>
            <c:ext xmlns:c16="http://schemas.microsoft.com/office/drawing/2014/chart" uri="{C3380CC4-5D6E-409C-BE32-E72D297353CC}">
              <c16:uniqueId val="{00000041-C5AF-419B-8360-F3658EC65968}"/>
            </c:ext>
          </c:extLst>
        </c:ser>
        <c:ser>
          <c:idx val="71"/>
          <c:order val="71"/>
          <c:tx>
            <c:strRef>
              <c:f>visualization!$BU$231:$BU$232</c:f>
              <c:strCache>
                <c:ptCount val="1"/>
                <c:pt idx="0">
                  <c:v>Redplanet</c:v>
                </c:pt>
              </c:strCache>
            </c:strRef>
          </c:tx>
          <c:spPr>
            <a:solidFill>
              <a:schemeClr val="accent6">
                <a:lumMod val="80000"/>
                <a:lumOff val="2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visualization!$BU$233:$BU$245</c:f>
              <c:numCache>
                <c:formatCode>General</c:formatCode>
                <c:ptCount val="12"/>
                <c:pt idx="0">
                  <c:v>0</c:v>
                </c:pt>
                <c:pt idx="1">
                  <c:v>2.1137406743301826E-3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2-C5AF-419B-8360-F3658EC65968}"/>
            </c:ext>
          </c:extLst>
        </c:ser>
        <c:ser>
          <c:idx val="72"/>
          <c:order val="72"/>
          <c:tx>
            <c:strRef>
              <c:f>visualization!$BV$231:$BV$232</c:f>
              <c:strCache>
                <c:ptCount val="1"/>
                <c:pt idx="0">
                  <c:v>Redunilux</c:v>
                </c:pt>
              </c:strCache>
            </c:strRef>
          </c:tx>
          <c:spPr>
            <a:solidFill>
              <a:schemeClr val="accent1">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visualization!$BV$233:$BV$245</c:f>
              <c:numCache>
                <c:formatCode>General</c:formatCode>
                <c:ptCount val="12"/>
                <c:pt idx="0">
                  <c:v>0</c:v>
                </c:pt>
                <c:pt idx="1">
                  <c:v>0</c:v>
                </c:pt>
                <c:pt idx="2">
                  <c:v>0</c:v>
                </c:pt>
                <c:pt idx="3">
                  <c:v>0</c:v>
                </c:pt>
                <c:pt idx="4">
                  <c:v>0</c:v>
                </c:pt>
                <c:pt idx="5">
                  <c:v>0</c:v>
                </c:pt>
                <c:pt idx="6">
                  <c:v>0</c:v>
                </c:pt>
                <c:pt idx="7">
                  <c:v>0</c:v>
                </c:pt>
                <c:pt idx="8">
                  <c:v>0</c:v>
                </c:pt>
                <c:pt idx="9">
                  <c:v>0</c:v>
                </c:pt>
                <c:pt idx="10">
                  <c:v>5.3683968897709836E-4</c:v>
                </c:pt>
                <c:pt idx="11">
                  <c:v>0</c:v>
                </c:pt>
              </c:numCache>
            </c:numRef>
          </c:val>
          <c:extLst>
            <c:ext xmlns:c16="http://schemas.microsoft.com/office/drawing/2014/chart" uri="{C3380CC4-5D6E-409C-BE32-E72D297353CC}">
              <c16:uniqueId val="{00000043-C5AF-419B-8360-F3658EC65968}"/>
            </c:ext>
          </c:extLst>
        </c:ser>
        <c:ser>
          <c:idx val="73"/>
          <c:order val="73"/>
          <c:tx>
            <c:strRef>
              <c:f>visualization!$BW$231:$BW$232</c:f>
              <c:strCache>
                <c:ptCount val="1"/>
                <c:pt idx="0">
                  <c:v>ronplex</c:v>
                </c:pt>
              </c:strCache>
            </c:strRef>
          </c:tx>
          <c:spPr>
            <a:solidFill>
              <a:schemeClr val="accent2">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visualization!$BW$233:$BW$245</c:f>
              <c:numCache>
                <c:formatCode>General</c:formatCode>
                <c:ptCount val="12"/>
                <c:pt idx="0">
                  <c:v>0</c:v>
                </c:pt>
                <c:pt idx="1">
                  <c:v>0</c:v>
                </c:pt>
                <c:pt idx="2">
                  <c:v>0</c:v>
                </c:pt>
                <c:pt idx="3">
                  <c:v>0</c:v>
                </c:pt>
                <c:pt idx="4">
                  <c:v>7.5971616285385498E-4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4-C5AF-419B-8360-F3658EC65968}"/>
            </c:ext>
          </c:extLst>
        </c:ser>
        <c:ser>
          <c:idx val="74"/>
          <c:order val="74"/>
          <c:tx>
            <c:strRef>
              <c:f>visualization!$BX$231:$BX$232</c:f>
              <c:strCache>
                <c:ptCount val="1"/>
                <c:pt idx="0">
                  <c:v>Saltstreet</c:v>
                </c:pt>
              </c:strCache>
            </c:strRef>
          </c:tx>
          <c:spPr>
            <a:solidFill>
              <a:schemeClr val="accent3">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visualization!$BX$233:$BX$245</c:f>
              <c:numCache>
                <c:formatCode>General</c:formatCode>
                <c:ptCount val="12"/>
                <c:pt idx="0">
                  <c:v>0</c:v>
                </c:pt>
                <c:pt idx="1">
                  <c:v>0</c:v>
                </c:pt>
                <c:pt idx="2">
                  <c:v>0</c:v>
                </c:pt>
                <c:pt idx="3">
                  <c:v>0</c:v>
                </c:pt>
                <c:pt idx="4">
                  <c:v>9.8303286834978184E-4</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5-C5AF-419B-8360-F3658EC65968}"/>
            </c:ext>
          </c:extLst>
        </c:ser>
        <c:ser>
          <c:idx val="75"/>
          <c:order val="75"/>
          <c:tx>
            <c:strRef>
              <c:f>visualization!$BY$231:$BY$232</c:f>
              <c:strCache>
                <c:ptCount val="1"/>
                <c:pt idx="0">
                  <c:v>Songreen</c:v>
                </c:pt>
              </c:strCache>
            </c:strRef>
          </c:tx>
          <c:spPr>
            <a:solidFill>
              <a:schemeClr val="accent4">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visualization!$BY$233:$BY$245</c:f>
              <c:numCache>
                <c:formatCode>General</c:formatCode>
                <c:ptCount val="12"/>
                <c:pt idx="0">
                  <c:v>0</c:v>
                </c:pt>
                <c:pt idx="1">
                  <c:v>0</c:v>
                </c:pt>
                <c:pt idx="2">
                  <c:v>1.0775904997530811E-2</c:v>
                </c:pt>
                <c:pt idx="3">
                  <c:v>0</c:v>
                </c:pt>
                <c:pt idx="4">
                  <c:v>1.5688813965467222E-3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6-C5AF-419B-8360-F3658EC65968}"/>
            </c:ext>
          </c:extLst>
        </c:ser>
        <c:ser>
          <c:idx val="76"/>
          <c:order val="76"/>
          <c:tx>
            <c:strRef>
              <c:f>visualization!$BZ$231:$BZ$232</c:f>
              <c:strCache>
                <c:ptCount val="1"/>
                <c:pt idx="0">
                  <c:v>Sontaxon</c:v>
                </c:pt>
              </c:strCache>
            </c:strRef>
          </c:tx>
          <c:spPr>
            <a:solidFill>
              <a:schemeClr val="accent5">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visualization!$BZ$233:$BZ$245</c:f>
              <c:numCache>
                <c:formatCode>General</c:formatCode>
                <c:ptCount val="12"/>
                <c:pt idx="0">
                  <c:v>4.3728159022347848E-2</c:v>
                </c:pt>
                <c:pt idx="1">
                  <c:v>2.131914866864449E-2</c:v>
                </c:pt>
                <c:pt idx="2">
                  <c:v>1.6630577830305627E-2</c:v>
                </c:pt>
                <c:pt idx="3">
                  <c:v>1.4399052427246418E-2</c:v>
                </c:pt>
                <c:pt idx="4">
                  <c:v>1.1373739536363977E-2</c:v>
                </c:pt>
                <c:pt idx="5">
                  <c:v>1.8842232088899531E-2</c:v>
                </c:pt>
                <c:pt idx="6">
                  <c:v>1.3336881961621956E-2</c:v>
                </c:pt>
                <c:pt idx="7">
                  <c:v>1.8264357608306969E-2</c:v>
                </c:pt>
                <c:pt idx="8">
                  <c:v>1.9763875416976058E-2</c:v>
                </c:pt>
                <c:pt idx="9">
                  <c:v>1.1081401886319623E-2</c:v>
                </c:pt>
                <c:pt idx="10">
                  <c:v>2.185500596883595E-3</c:v>
                </c:pt>
                <c:pt idx="11">
                  <c:v>2.1998729665037367E-2</c:v>
                </c:pt>
              </c:numCache>
            </c:numRef>
          </c:val>
          <c:extLst>
            <c:ext xmlns:c16="http://schemas.microsoft.com/office/drawing/2014/chart" uri="{C3380CC4-5D6E-409C-BE32-E72D297353CC}">
              <c16:uniqueId val="{00000047-C5AF-419B-8360-F3658EC65968}"/>
            </c:ext>
          </c:extLst>
        </c:ser>
        <c:ser>
          <c:idx val="77"/>
          <c:order val="77"/>
          <c:tx>
            <c:strRef>
              <c:f>visualization!$CA$231:$CA$232</c:f>
              <c:strCache>
                <c:ptCount val="1"/>
                <c:pt idx="0">
                  <c:v>Stanfan</c:v>
                </c:pt>
              </c:strCache>
            </c:strRef>
          </c:tx>
          <c:spPr>
            <a:solidFill>
              <a:schemeClr val="accent6">
                <a:lumMod val="8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visualization!$CA$233:$CA$245</c:f>
              <c:numCache>
                <c:formatCode>General</c:formatCode>
                <c:ptCount val="12"/>
                <c:pt idx="0">
                  <c:v>0</c:v>
                </c:pt>
                <c:pt idx="1">
                  <c:v>0</c:v>
                </c:pt>
                <c:pt idx="2">
                  <c:v>0</c:v>
                </c:pt>
                <c:pt idx="3">
                  <c:v>0</c:v>
                </c:pt>
                <c:pt idx="4">
                  <c:v>0</c:v>
                </c:pt>
                <c:pt idx="5">
                  <c:v>0</c:v>
                </c:pt>
                <c:pt idx="6">
                  <c:v>8.9767781269007284E-4</c:v>
                </c:pt>
                <c:pt idx="7">
                  <c:v>0</c:v>
                </c:pt>
                <c:pt idx="8">
                  <c:v>0</c:v>
                </c:pt>
                <c:pt idx="9">
                  <c:v>0</c:v>
                </c:pt>
                <c:pt idx="10">
                  <c:v>0</c:v>
                </c:pt>
                <c:pt idx="11">
                  <c:v>0</c:v>
                </c:pt>
              </c:numCache>
            </c:numRef>
          </c:val>
          <c:extLst>
            <c:ext xmlns:c16="http://schemas.microsoft.com/office/drawing/2014/chart" uri="{C3380CC4-5D6E-409C-BE32-E72D297353CC}">
              <c16:uniqueId val="{00000048-C5AF-419B-8360-F3658EC65968}"/>
            </c:ext>
          </c:extLst>
        </c:ser>
        <c:ser>
          <c:idx val="78"/>
          <c:order val="78"/>
          <c:tx>
            <c:strRef>
              <c:f>visualization!$CB$231:$CB$232</c:f>
              <c:strCache>
                <c:ptCount val="1"/>
                <c:pt idx="0">
                  <c:v>Stimsanlux</c:v>
                </c:pt>
              </c:strCache>
            </c:strRef>
          </c:tx>
          <c:spPr>
            <a:solidFill>
              <a:schemeClr val="accent1">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visualization!$CB$233:$CB$245</c:f>
              <c:numCache>
                <c:formatCode>General</c:formatCode>
                <c:ptCount val="12"/>
                <c:pt idx="0">
                  <c:v>0</c:v>
                </c:pt>
                <c:pt idx="1">
                  <c:v>0</c:v>
                </c:pt>
                <c:pt idx="2">
                  <c:v>0</c:v>
                </c:pt>
                <c:pt idx="3">
                  <c:v>0</c:v>
                </c:pt>
                <c:pt idx="4">
                  <c:v>0</c:v>
                </c:pt>
                <c:pt idx="5">
                  <c:v>0</c:v>
                </c:pt>
                <c:pt idx="6">
                  <c:v>0</c:v>
                </c:pt>
                <c:pt idx="7">
                  <c:v>0</c:v>
                </c:pt>
                <c:pt idx="8">
                  <c:v>2.1204005329630484E-3</c:v>
                </c:pt>
                <c:pt idx="9">
                  <c:v>0</c:v>
                </c:pt>
                <c:pt idx="10">
                  <c:v>0</c:v>
                </c:pt>
                <c:pt idx="11">
                  <c:v>1.2301177440235691E-3</c:v>
                </c:pt>
              </c:numCache>
            </c:numRef>
          </c:val>
          <c:extLst>
            <c:ext xmlns:c16="http://schemas.microsoft.com/office/drawing/2014/chart" uri="{C3380CC4-5D6E-409C-BE32-E72D297353CC}">
              <c16:uniqueId val="{00000049-C5AF-419B-8360-F3658EC65968}"/>
            </c:ext>
          </c:extLst>
        </c:ser>
        <c:ser>
          <c:idx val="79"/>
          <c:order val="79"/>
          <c:tx>
            <c:strRef>
              <c:f>visualization!$CC$231:$CC$232</c:f>
              <c:strCache>
                <c:ptCount val="1"/>
                <c:pt idx="0">
                  <c:v>Strongzone</c:v>
                </c:pt>
              </c:strCache>
            </c:strRef>
          </c:tx>
          <c:spPr>
            <a:solidFill>
              <a:schemeClr val="accent2">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visualization!$CC$233:$CC$245</c:f>
              <c:numCache>
                <c:formatCode>General</c:formatCode>
                <c:ptCount val="12"/>
                <c:pt idx="0">
                  <c:v>0</c:v>
                </c:pt>
                <c:pt idx="1">
                  <c:v>0</c:v>
                </c:pt>
                <c:pt idx="2">
                  <c:v>0</c:v>
                </c:pt>
                <c:pt idx="3">
                  <c:v>9.0225361917504413E-4</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A-C5AF-419B-8360-F3658EC65968}"/>
            </c:ext>
          </c:extLst>
        </c:ser>
        <c:ser>
          <c:idx val="80"/>
          <c:order val="80"/>
          <c:tx>
            <c:strRef>
              <c:f>visualization!$CD$231:$CD$232</c:f>
              <c:strCache>
                <c:ptCount val="1"/>
                <c:pt idx="0">
                  <c:v>sumdrill</c:v>
                </c:pt>
              </c:strCache>
            </c:strRef>
          </c:tx>
          <c:spPr>
            <a:solidFill>
              <a:schemeClr val="accent3">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visualization!$CD$233:$CD$245</c:f>
              <c:numCache>
                <c:formatCode>General</c:formatCode>
                <c:ptCount val="12"/>
                <c:pt idx="0">
                  <c:v>0</c:v>
                </c:pt>
                <c:pt idx="1">
                  <c:v>0</c:v>
                </c:pt>
                <c:pt idx="2">
                  <c:v>0</c:v>
                </c:pt>
                <c:pt idx="3">
                  <c:v>0</c:v>
                </c:pt>
                <c:pt idx="4">
                  <c:v>0</c:v>
                </c:pt>
                <c:pt idx="5">
                  <c:v>0</c:v>
                </c:pt>
                <c:pt idx="6">
                  <c:v>1.1159698055671946E-3</c:v>
                </c:pt>
                <c:pt idx="7">
                  <c:v>0</c:v>
                </c:pt>
                <c:pt idx="8">
                  <c:v>0</c:v>
                </c:pt>
                <c:pt idx="9">
                  <c:v>0</c:v>
                </c:pt>
                <c:pt idx="10">
                  <c:v>0</c:v>
                </c:pt>
                <c:pt idx="11">
                  <c:v>0</c:v>
                </c:pt>
              </c:numCache>
            </c:numRef>
          </c:val>
          <c:extLst>
            <c:ext xmlns:c16="http://schemas.microsoft.com/office/drawing/2014/chart" uri="{C3380CC4-5D6E-409C-BE32-E72D297353CC}">
              <c16:uniqueId val="{0000004B-C5AF-419B-8360-F3658EC65968}"/>
            </c:ext>
          </c:extLst>
        </c:ser>
        <c:ser>
          <c:idx val="81"/>
          <c:order val="81"/>
          <c:tx>
            <c:strRef>
              <c:f>visualization!$CE$231:$CE$232</c:f>
              <c:strCache>
                <c:ptCount val="1"/>
                <c:pt idx="0">
                  <c:v>Suntaxon</c:v>
                </c:pt>
              </c:strCache>
            </c:strRef>
          </c:tx>
          <c:spPr>
            <a:solidFill>
              <a:schemeClr val="accent4">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visualization!$CE$233:$CE$245</c:f>
              <c:numCache>
                <c:formatCode>General</c:formatCode>
                <c:ptCount val="12"/>
                <c:pt idx="0">
                  <c:v>0</c:v>
                </c:pt>
                <c:pt idx="1">
                  <c:v>0</c:v>
                </c:pt>
                <c:pt idx="2">
                  <c:v>0</c:v>
                </c:pt>
                <c:pt idx="3">
                  <c:v>3.9139974004951793E-3</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C-C5AF-419B-8360-F3658EC65968}"/>
            </c:ext>
          </c:extLst>
        </c:ser>
        <c:ser>
          <c:idx val="82"/>
          <c:order val="82"/>
          <c:tx>
            <c:strRef>
              <c:f>visualization!$CF$231:$CF$232</c:f>
              <c:strCache>
                <c:ptCount val="1"/>
                <c:pt idx="0">
                  <c:v>Tamhow</c:v>
                </c:pt>
              </c:strCache>
            </c:strRef>
          </c:tx>
          <c:spPr>
            <a:solidFill>
              <a:schemeClr val="accent5">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visualization!$CF$233:$CF$245</c:f>
              <c:numCache>
                <c:formatCode>General</c:formatCode>
                <c:ptCount val="12"/>
                <c:pt idx="0">
                  <c:v>0</c:v>
                </c:pt>
                <c:pt idx="1">
                  <c:v>0</c:v>
                </c:pt>
                <c:pt idx="2">
                  <c:v>0</c:v>
                </c:pt>
                <c:pt idx="3">
                  <c:v>0</c:v>
                </c:pt>
                <c:pt idx="4">
                  <c:v>0</c:v>
                </c:pt>
                <c:pt idx="5">
                  <c:v>0</c:v>
                </c:pt>
                <c:pt idx="6">
                  <c:v>0</c:v>
                </c:pt>
                <c:pt idx="7">
                  <c:v>9.2166718299185131E-5</c:v>
                </c:pt>
                <c:pt idx="8">
                  <c:v>0</c:v>
                </c:pt>
                <c:pt idx="9">
                  <c:v>0</c:v>
                </c:pt>
                <c:pt idx="10">
                  <c:v>0</c:v>
                </c:pt>
                <c:pt idx="11">
                  <c:v>0</c:v>
                </c:pt>
              </c:numCache>
            </c:numRef>
          </c:val>
          <c:extLst>
            <c:ext xmlns:c16="http://schemas.microsoft.com/office/drawing/2014/chart" uri="{C3380CC4-5D6E-409C-BE32-E72D297353CC}">
              <c16:uniqueId val="{0000004D-C5AF-419B-8360-F3658EC65968}"/>
            </c:ext>
          </c:extLst>
        </c:ser>
        <c:ser>
          <c:idx val="83"/>
          <c:order val="83"/>
          <c:tx>
            <c:strRef>
              <c:f>visualization!$CG$231:$CG$232</c:f>
              <c:strCache>
                <c:ptCount val="1"/>
                <c:pt idx="0">
                  <c:v>tamptrax</c:v>
                </c:pt>
              </c:strCache>
            </c:strRef>
          </c:tx>
          <c:spPr>
            <a:solidFill>
              <a:schemeClr val="accent6">
                <a:lumMod val="60000"/>
                <a:lumOff val="4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visualization!$CG$233:$CG$245</c:f>
              <c:numCache>
                <c:formatCode>General</c:formatCode>
                <c:ptCount val="12"/>
                <c:pt idx="0">
                  <c:v>0</c:v>
                </c:pt>
                <c:pt idx="1">
                  <c:v>0</c:v>
                </c:pt>
                <c:pt idx="2">
                  <c:v>0</c:v>
                </c:pt>
                <c:pt idx="3">
                  <c:v>0</c:v>
                </c:pt>
                <c:pt idx="4">
                  <c:v>0</c:v>
                </c:pt>
                <c:pt idx="5">
                  <c:v>0</c:v>
                </c:pt>
                <c:pt idx="6">
                  <c:v>0</c:v>
                </c:pt>
                <c:pt idx="7">
                  <c:v>1.453811790907356E-3</c:v>
                </c:pt>
                <c:pt idx="8">
                  <c:v>0</c:v>
                </c:pt>
                <c:pt idx="9">
                  <c:v>0</c:v>
                </c:pt>
                <c:pt idx="10">
                  <c:v>0</c:v>
                </c:pt>
                <c:pt idx="11">
                  <c:v>0</c:v>
                </c:pt>
              </c:numCache>
            </c:numRef>
          </c:val>
          <c:extLst>
            <c:ext xmlns:c16="http://schemas.microsoft.com/office/drawing/2014/chart" uri="{C3380CC4-5D6E-409C-BE32-E72D297353CC}">
              <c16:uniqueId val="{0000004E-C5AF-419B-8360-F3658EC65968}"/>
            </c:ext>
          </c:extLst>
        </c:ser>
        <c:ser>
          <c:idx val="84"/>
          <c:order val="84"/>
          <c:tx>
            <c:strRef>
              <c:f>visualization!$CH$231:$CH$232</c:f>
              <c:strCache>
                <c:ptCount val="1"/>
                <c:pt idx="0">
                  <c:v>Triohow</c:v>
                </c:pt>
              </c:strCache>
            </c:strRef>
          </c:tx>
          <c:spPr>
            <a:solidFill>
              <a:schemeClr val="accent1">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visualization!$CH$233:$CH$245</c:f>
              <c:numCache>
                <c:formatCode>General</c:formatCode>
                <c:ptCount val="12"/>
                <c:pt idx="0">
                  <c:v>0</c:v>
                </c:pt>
                <c:pt idx="1">
                  <c:v>0</c:v>
                </c:pt>
                <c:pt idx="2">
                  <c:v>3.0795177643856909E-4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4F-C5AF-419B-8360-F3658EC65968}"/>
            </c:ext>
          </c:extLst>
        </c:ser>
        <c:ser>
          <c:idx val="85"/>
          <c:order val="85"/>
          <c:tx>
            <c:strRef>
              <c:f>visualization!$CI$231:$CI$232</c:f>
              <c:strCache>
                <c:ptCount val="1"/>
                <c:pt idx="0">
                  <c:v>Trioice</c:v>
                </c:pt>
              </c:strCache>
            </c:strRef>
          </c:tx>
          <c:spPr>
            <a:solidFill>
              <a:schemeClr val="accent2">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visualization!$CI$233:$CI$245</c:f>
              <c:numCache>
                <c:formatCode>General</c:formatCode>
                <c:ptCount val="12"/>
                <c:pt idx="0">
                  <c:v>0</c:v>
                </c:pt>
                <c:pt idx="1">
                  <c:v>0</c:v>
                </c:pt>
                <c:pt idx="2">
                  <c:v>0</c:v>
                </c:pt>
                <c:pt idx="3">
                  <c:v>0</c:v>
                </c:pt>
                <c:pt idx="4">
                  <c:v>0</c:v>
                </c:pt>
                <c:pt idx="5">
                  <c:v>0</c:v>
                </c:pt>
                <c:pt idx="6">
                  <c:v>5.6223368006575649E-3</c:v>
                </c:pt>
                <c:pt idx="7">
                  <c:v>0</c:v>
                </c:pt>
                <c:pt idx="8">
                  <c:v>0</c:v>
                </c:pt>
                <c:pt idx="9">
                  <c:v>0</c:v>
                </c:pt>
                <c:pt idx="10">
                  <c:v>0</c:v>
                </c:pt>
                <c:pt idx="11">
                  <c:v>0</c:v>
                </c:pt>
              </c:numCache>
            </c:numRef>
          </c:val>
          <c:extLst>
            <c:ext xmlns:c16="http://schemas.microsoft.com/office/drawing/2014/chart" uri="{C3380CC4-5D6E-409C-BE32-E72D297353CC}">
              <c16:uniqueId val="{00000050-C5AF-419B-8360-F3658EC65968}"/>
            </c:ext>
          </c:extLst>
        </c:ser>
        <c:ser>
          <c:idx val="86"/>
          <c:order val="86"/>
          <c:tx>
            <c:strRef>
              <c:f>visualization!$CJ$231:$CJ$232</c:f>
              <c:strCache>
                <c:ptCount val="1"/>
                <c:pt idx="0">
                  <c:v>Tripplenix</c:v>
                </c:pt>
              </c:strCache>
            </c:strRef>
          </c:tx>
          <c:spPr>
            <a:solidFill>
              <a:schemeClr val="accent3">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visualization!$CJ$233:$CJ$245</c:f>
              <c:numCache>
                <c:formatCode>General</c:formatCode>
                <c:ptCount val="12"/>
                <c:pt idx="0">
                  <c:v>0</c:v>
                </c:pt>
                <c:pt idx="1">
                  <c:v>0</c:v>
                </c:pt>
                <c:pt idx="2">
                  <c:v>0</c:v>
                </c:pt>
                <c:pt idx="3">
                  <c:v>0</c:v>
                </c:pt>
                <c:pt idx="4">
                  <c:v>0</c:v>
                </c:pt>
                <c:pt idx="5">
                  <c:v>0</c:v>
                </c:pt>
                <c:pt idx="6">
                  <c:v>0</c:v>
                </c:pt>
                <c:pt idx="7">
                  <c:v>0</c:v>
                </c:pt>
                <c:pt idx="8">
                  <c:v>0</c:v>
                </c:pt>
                <c:pt idx="9">
                  <c:v>8.8524506454867923E-4</c:v>
                </c:pt>
                <c:pt idx="10">
                  <c:v>0</c:v>
                </c:pt>
                <c:pt idx="11">
                  <c:v>0</c:v>
                </c:pt>
              </c:numCache>
            </c:numRef>
          </c:val>
          <c:extLst>
            <c:ext xmlns:c16="http://schemas.microsoft.com/office/drawing/2014/chart" uri="{C3380CC4-5D6E-409C-BE32-E72D297353CC}">
              <c16:uniqueId val="{00000051-C5AF-419B-8360-F3658EC65968}"/>
            </c:ext>
          </c:extLst>
        </c:ser>
        <c:ser>
          <c:idx val="87"/>
          <c:order val="87"/>
          <c:tx>
            <c:strRef>
              <c:f>visualization!$CK$231:$CK$232</c:f>
              <c:strCache>
                <c:ptCount val="1"/>
                <c:pt idx="0">
                  <c:v>Unaquoing</c:v>
                </c:pt>
              </c:strCache>
            </c:strRef>
          </c:tx>
          <c:spPr>
            <a:solidFill>
              <a:schemeClr val="accent4">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visualization!$CK$233:$CK$245</c:f>
              <c:numCache>
                <c:formatCode>General</c:formatCode>
                <c:ptCount val="12"/>
                <c:pt idx="0">
                  <c:v>0</c:v>
                </c:pt>
                <c:pt idx="1">
                  <c:v>0</c:v>
                </c:pt>
                <c:pt idx="2">
                  <c:v>0</c:v>
                </c:pt>
                <c:pt idx="3">
                  <c:v>0</c:v>
                </c:pt>
                <c:pt idx="4">
                  <c:v>0</c:v>
                </c:pt>
                <c:pt idx="5">
                  <c:v>0</c:v>
                </c:pt>
                <c:pt idx="6">
                  <c:v>0</c:v>
                </c:pt>
                <c:pt idx="7">
                  <c:v>1.2549290245897095E-3</c:v>
                </c:pt>
                <c:pt idx="8">
                  <c:v>0</c:v>
                </c:pt>
                <c:pt idx="9">
                  <c:v>0</c:v>
                </c:pt>
                <c:pt idx="10">
                  <c:v>0</c:v>
                </c:pt>
                <c:pt idx="11">
                  <c:v>0</c:v>
                </c:pt>
              </c:numCache>
            </c:numRef>
          </c:val>
          <c:extLst>
            <c:ext xmlns:c16="http://schemas.microsoft.com/office/drawing/2014/chart" uri="{C3380CC4-5D6E-409C-BE32-E72D297353CC}">
              <c16:uniqueId val="{00000052-C5AF-419B-8360-F3658EC65968}"/>
            </c:ext>
          </c:extLst>
        </c:ser>
        <c:ser>
          <c:idx val="88"/>
          <c:order val="88"/>
          <c:tx>
            <c:strRef>
              <c:f>visualization!$CL$231:$CL$232</c:f>
              <c:strCache>
                <c:ptCount val="1"/>
                <c:pt idx="0">
                  <c:v>Vaiadocon</c:v>
                </c:pt>
              </c:strCache>
            </c:strRef>
          </c:tx>
          <c:spPr>
            <a:solidFill>
              <a:schemeClr val="accent5">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visualization!$CL$233:$CL$245</c:f>
              <c:numCache>
                <c:formatCode>General</c:formatCode>
                <c:ptCount val="12"/>
                <c:pt idx="0">
                  <c:v>0</c:v>
                </c:pt>
                <c:pt idx="1">
                  <c:v>0</c:v>
                </c:pt>
                <c:pt idx="2">
                  <c:v>0</c:v>
                </c:pt>
                <c:pt idx="3">
                  <c:v>0</c:v>
                </c:pt>
                <c:pt idx="4">
                  <c:v>6.5056647974656209E-3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3-C5AF-419B-8360-F3658EC65968}"/>
            </c:ext>
          </c:extLst>
        </c:ser>
        <c:ser>
          <c:idx val="89"/>
          <c:order val="89"/>
          <c:tx>
            <c:strRef>
              <c:f>visualization!$CM$231:$CM$232</c:f>
              <c:strCache>
                <c:ptCount val="1"/>
                <c:pt idx="0">
                  <c:v>Ventolane</c:v>
                </c:pt>
              </c:strCache>
            </c:strRef>
          </c:tx>
          <c:spPr>
            <a:solidFill>
              <a:schemeClr val="accent6">
                <a:lumMod val="5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visualization!$CM$233:$CM$245</c:f>
              <c:numCache>
                <c:formatCode>General</c:formatCode>
                <c:ptCount val="12"/>
                <c:pt idx="0">
                  <c:v>0</c:v>
                </c:pt>
                <c:pt idx="1">
                  <c:v>1.4308893859091822E-2</c:v>
                </c:pt>
                <c:pt idx="2">
                  <c:v>0</c:v>
                </c:pt>
                <c:pt idx="3">
                  <c:v>0</c:v>
                </c:pt>
                <c:pt idx="4">
                  <c:v>0</c:v>
                </c:pt>
                <c:pt idx="5">
                  <c:v>0</c:v>
                </c:pt>
                <c:pt idx="6">
                  <c:v>0</c:v>
                </c:pt>
                <c:pt idx="7">
                  <c:v>5.2818252334297256E-4</c:v>
                </c:pt>
                <c:pt idx="8">
                  <c:v>0</c:v>
                </c:pt>
                <c:pt idx="9">
                  <c:v>0</c:v>
                </c:pt>
                <c:pt idx="10">
                  <c:v>0</c:v>
                </c:pt>
                <c:pt idx="11">
                  <c:v>4.7654747480877028E-4</c:v>
                </c:pt>
              </c:numCache>
            </c:numRef>
          </c:val>
          <c:extLst>
            <c:ext xmlns:c16="http://schemas.microsoft.com/office/drawing/2014/chart" uri="{C3380CC4-5D6E-409C-BE32-E72D297353CC}">
              <c16:uniqueId val="{00000054-C5AF-419B-8360-F3658EC65968}"/>
            </c:ext>
          </c:extLst>
        </c:ser>
        <c:ser>
          <c:idx val="90"/>
          <c:order val="90"/>
          <c:tx>
            <c:strRef>
              <c:f>visualization!$CN$231:$CN$232</c:f>
              <c:strCache>
                <c:ptCount val="1"/>
                <c:pt idx="0">
                  <c:v>Vivastreet</c:v>
                </c:pt>
              </c:strCache>
            </c:strRef>
          </c:tx>
          <c:spPr>
            <a:solidFill>
              <a:schemeClr val="accent1">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visualization!$CN$233:$CN$245</c:f>
              <c:numCache>
                <c:formatCode>General</c:formatCode>
                <c:ptCount val="12"/>
                <c:pt idx="0">
                  <c:v>0</c:v>
                </c:pt>
                <c:pt idx="1">
                  <c:v>0</c:v>
                </c:pt>
                <c:pt idx="2">
                  <c:v>0</c:v>
                </c:pt>
                <c:pt idx="3">
                  <c:v>0</c:v>
                </c:pt>
                <c:pt idx="4">
                  <c:v>0</c:v>
                </c:pt>
                <c:pt idx="5">
                  <c:v>0</c:v>
                </c:pt>
                <c:pt idx="6">
                  <c:v>0</c:v>
                </c:pt>
                <c:pt idx="7">
                  <c:v>0</c:v>
                </c:pt>
                <c:pt idx="8">
                  <c:v>0</c:v>
                </c:pt>
                <c:pt idx="9">
                  <c:v>0</c:v>
                </c:pt>
                <c:pt idx="10">
                  <c:v>3.4822624684378053E-3</c:v>
                </c:pt>
                <c:pt idx="11">
                  <c:v>0</c:v>
                </c:pt>
              </c:numCache>
            </c:numRef>
          </c:val>
          <c:extLst>
            <c:ext xmlns:c16="http://schemas.microsoft.com/office/drawing/2014/chart" uri="{C3380CC4-5D6E-409C-BE32-E72D297353CC}">
              <c16:uniqueId val="{00000055-C5AF-419B-8360-F3658EC65968}"/>
            </c:ext>
          </c:extLst>
        </c:ser>
        <c:ser>
          <c:idx val="91"/>
          <c:order val="91"/>
          <c:tx>
            <c:strRef>
              <c:f>visualization!$CO$231:$CO$232</c:f>
              <c:strCache>
                <c:ptCount val="1"/>
                <c:pt idx="0">
                  <c:v>Xx-trans</c:v>
                </c:pt>
              </c:strCache>
            </c:strRef>
          </c:tx>
          <c:spPr>
            <a:solidFill>
              <a:schemeClr val="accent2">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visualization!$CO$233:$CO$245</c:f>
              <c:numCache>
                <c:formatCode>General</c:formatCode>
                <c:ptCount val="12"/>
                <c:pt idx="0">
                  <c:v>0</c:v>
                </c:pt>
                <c:pt idx="1">
                  <c:v>0</c:v>
                </c:pt>
                <c:pt idx="2">
                  <c:v>0</c:v>
                </c:pt>
                <c:pt idx="3">
                  <c:v>0</c:v>
                </c:pt>
                <c:pt idx="4">
                  <c:v>0</c:v>
                </c:pt>
                <c:pt idx="5">
                  <c:v>0</c:v>
                </c:pt>
                <c:pt idx="6">
                  <c:v>0</c:v>
                </c:pt>
                <c:pt idx="7">
                  <c:v>0</c:v>
                </c:pt>
                <c:pt idx="8">
                  <c:v>0</c:v>
                </c:pt>
                <c:pt idx="9">
                  <c:v>4.9501768515592694E-4</c:v>
                </c:pt>
                <c:pt idx="10">
                  <c:v>0</c:v>
                </c:pt>
                <c:pt idx="11">
                  <c:v>0</c:v>
                </c:pt>
              </c:numCache>
            </c:numRef>
          </c:val>
          <c:extLst>
            <c:ext xmlns:c16="http://schemas.microsoft.com/office/drawing/2014/chart" uri="{C3380CC4-5D6E-409C-BE32-E72D297353CC}">
              <c16:uniqueId val="{00000056-C5AF-419B-8360-F3658EC65968}"/>
            </c:ext>
          </c:extLst>
        </c:ser>
        <c:ser>
          <c:idx val="92"/>
          <c:order val="92"/>
          <c:tx>
            <c:strRef>
              <c:f>visualization!$CP$231:$CP$232</c:f>
              <c:strCache>
                <c:ptCount val="1"/>
                <c:pt idx="0">
                  <c:v>Y-anplex</c:v>
                </c:pt>
              </c:strCache>
            </c:strRef>
          </c:tx>
          <c:spPr>
            <a:solidFill>
              <a:schemeClr val="accent3">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visualization!$CP$233:$CP$245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8.6211663982724846E-5</c:v>
                </c:pt>
              </c:numCache>
            </c:numRef>
          </c:val>
          <c:extLst>
            <c:ext xmlns:c16="http://schemas.microsoft.com/office/drawing/2014/chart" uri="{C3380CC4-5D6E-409C-BE32-E72D297353CC}">
              <c16:uniqueId val="{00000057-C5AF-419B-8360-F3658EC65968}"/>
            </c:ext>
          </c:extLst>
        </c:ser>
        <c:ser>
          <c:idx val="93"/>
          <c:order val="93"/>
          <c:tx>
            <c:strRef>
              <c:f>visualization!$CQ$231:$CQ$232</c:f>
              <c:strCache>
                <c:ptCount val="1"/>
                <c:pt idx="0">
                  <c:v>Yearhouse</c:v>
                </c:pt>
              </c:strCache>
            </c:strRef>
          </c:tx>
          <c:spPr>
            <a:solidFill>
              <a:schemeClr val="accent4">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visualization!$CQ$233:$CQ$245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1.680548423809349E-3</c:v>
                </c:pt>
              </c:numCache>
            </c:numRef>
          </c:val>
          <c:extLst>
            <c:ext xmlns:c16="http://schemas.microsoft.com/office/drawing/2014/chart" uri="{C3380CC4-5D6E-409C-BE32-E72D297353CC}">
              <c16:uniqueId val="{00000058-C5AF-419B-8360-F3658EC65968}"/>
            </c:ext>
          </c:extLst>
        </c:ser>
        <c:ser>
          <c:idx val="94"/>
          <c:order val="94"/>
          <c:tx>
            <c:strRef>
              <c:f>visualization!$CR$231:$CR$232</c:f>
              <c:strCache>
                <c:ptCount val="1"/>
                <c:pt idx="0">
                  <c:v>Zaamphase</c:v>
                </c:pt>
              </c:strCache>
            </c:strRef>
          </c:tx>
          <c:spPr>
            <a:solidFill>
              <a:schemeClr val="accent5">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visualization!$CR$233:$CR$245</c:f>
              <c:numCache>
                <c:formatCode>General</c:formatCode>
                <c:ptCount val="12"/>
                <c:pt idx="0">
                  <c:v>0</c:v>
                </c:pt>
                <c:pt idx="1">
                  <c:v>7.8655012337664615E-3</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9-C5AF-419B-8360-F3658EC65968}"/>
            </c:ext>
          </c:extLst>
        </c:ser>
        <c:ser>
          <c:idx val="95"/>
          <c:order val="95"/>
          <c:tx>
            <c:strRef>
              <c:f>visualization!$CS$231:$CS$232</c:f>
              <c:strCache>
                <c:ptCount val="1"/>
                <c:pt idx="0">
                  <c:v>Zonronzap</c:v>
                </c:pt>
              </c:strCache>
            </c:strRef>
          </c:tx>
          <c:spPr>
            <a:solidFill>
              <a:schemeClr val="accent6">
                <a:lumMod val="70000"/>
                <a:lumOff val="3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visualization!$CS$233:$CS$245</c:f>
              <c:numCache>
                <c:formatCode>General</c:formatCode>
                <c:ptCount val="12"/>
                <c:pt idx="0">
                  <c:v>0</c:v>
                </c:pt>
                <c:pt idx="1">
                  <c:v>0</c:v>
                </c:pt>
                <c:pt idx="2">
                  <c:v>0</c:v>
                </c:pt>
                <c:pt idx="3">
                  <c:v>0</c:v>
                </c:pt>
                <c:pt idx="4">
                  <c:v>0</c:v>
                </c:pt>
                <c:pt idx="5">
                  <c:v>0</c:v>
                </c:pt>
                <c:pt idx="6">
                  <c:v>1.5648824452868704E-5</c:v>
                </c:pt>
                <c:pt idx="7">
                  <c:v>0</c:v>
                </c:pt>
                <c:pt idx="8">
                  <c:v>0</c:v>
                </c:pt>
                <c:pt idx="9">
                  <c:v>0</c:v>
                </c:pt>
                <c:pt idx="10">
                  <c:v>0</c:v>
                </c:pt>
                <c:pt idx="11">
                  <c:v>0</c:v>
                </c:pt>
              </c:numCache>
            </c:numRef>
          </c:val>
          <c:extLst>
            <c:ext xmlns:c16="http://schemas.microsoft.com/office/drawing/2014/chart" uri="{C3380CC4-5D6E-409C-BE32-E72D297353CC}">
              <c16:uniqueId val="{0000005A-C5AF-419B-8360-F3658EC65968}"/>
            </c:ext>
          </c:extLst>
        </c:ser>
        <c:ser>
          <c:idx val="96"/>
          <c:order val="96"/>
          <c:tx>
            <c:strRef>
              <c:f>visualization!$CT$231:$CT$232</c:f>
              <c:strCache>
                <c:ptCount val="1"/>
                <c:pt idx="0">
                  <c:v>zonstrip</c:v>
                </c:pt>
              </c:strCache>
            </c:strRef>
          </c:tx>
          <c:spPr>
            <a:solidFill>
              <a:schemeClr val="accent1">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visualization!$CT$233:$CT$245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1.3353439441485821E-3</c:v>
                </c:pt>
              </c:numCache>
            </c:numRef>
          </c:val>
          <c:extLst>
            <c:ext xmlns:c16="http://schemas.microsoft.com/office/drawing/2014/chart" uri="{C3380CC4-5D6E-409C-BE32-E72D297353CC}">
              <c16:uniqueId val="{0000005B-C5AF-419B-8360-F3658EC65968}"/>
            </c:ext>
          </c:extLst>
        </c:ser>
        <c:ser>
          <c:idx val="97"/>
          <c:order val="97"/>
          <c:tx>
            <c:strRef>
              <c:f>visualization!$CU$231:$CU$232</c:f>
              <c:strCache>
                <c:ptCount val="1"/>
                <c:pt idx="0">
                  <c:v>Zoomtone</c:v>
                </c:pt>
              </c:strCache>
            </c:strRef>
          </c:tx>
          <c:spPr>
            <a:solidFill>
              <a:schemeClr val="accent2">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visualization!$CU$233:$CU$245</c:f>
              <c:numCache>
                <c:formatCode>General</c:formatCode>
                <c:ptCount val="12"/>
                <c:pt idx="0">
                  <c:v>1.1975241226271117E-2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C-C5AF-419B-8360-F3658EC65968}"/>
            </c:ext>
          </c:extLst>
        </c:ser>
        <c:ser>
          <c:idx val="98"/>
          <c:order val="98"/>
          <c:tx>
            <c:strRef>
              <c:f>visualization!$CV$231:$CV$232</c:f>
              <c:strCache>
                <c:ptCount val="1"/>
                <c:pt idx="0">
                  <c:v>Zotcare</c:v>
                </c:pt>
              </c:strCache>
            </c:strRef>
          </c:tx>
          <c:spPr>
            <a:solidFill>
              <a:schemeClr val="accent3">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visualization!$CV$233:$CV$245</c:f>
              <c:numCache>
                <c:formatCode>General</c:formatCode>
                <c:ptCount val="12"/>
                <c:pt idx="0">
                  <c:v>2.4569673646476823E-3</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5D-C5AF-419B-8360-F3658EC65968}"/>
            </c:ext>
          </c:extLst>
        </c:ser>
        <c:ser>
          <c:idx val="99"/>
          <c:order val="99"/>
          <c:tx>
            <c:strRef>
              <c:f>visualization!$CW$231:$CW$232</c:f>
              <c:strCache>
                <c:ptCount val="1"/>
                <c:pt idx="0">
                  <c:v>Zummedtech</c:v>
                </c:pt>
              </c:strCache>
            </c:strRef>
          </c:tx>
          <c:spPr>
            <a:solidFill>
              <a:schemeClr val="accent4">
                <a:lumMod val="70000"/>
              </a:schemeClr>
            </a:solidFill>
            <a:ln>
              <a:noFill/>
            </a:ln>
            <a:effectLst/>
          </c:spPr>
          <c:invertIfNegative val="0"/>
          <c:cat>
            <c:strRef>
              <c:f>visualization!$A$233:$A$245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visualization!$CW$233:$CW$245</c:f>
              <c:numCache>
                <c:formatCode>General</c:formatCode>
                <c:ptCount val="12"/>
                <c:pt idx="0">
                  <c:v>0</c:v>
                </c:pt>
                <c:pt idx="1">
                  <c:v>0</c:v>
                </c:pt>
                <c:pt idx="2">
                  <c:v>0</c:v>
                </c:pt>
                <c:pt idx="3">
                  <c:v>0</c:v>
                </c:pt>
                <c:pt idx="4">
                  <c:v>0</c:v>
                </c:pt>
                <c:pt idx="5">
                  <c:v>0</c:v>
                </c:pt>
                <c:pt idx="6">
                  <c:v>0</c:v>
                </c:pt>
                <c:pt idx="7">
                  <c:v>0</c:v>
                </c:pt>
                <c:pt idx="8">
                  <c:v>1.3528686323974225E-3</c:v>
                </c:pt>
                <c:pt idx="9">
                  <c:v>0</c:v>
                </c:pt>
                <c:pt idx="10">
                  <c:v>0</c:v>
                </c:pt>
                <c:pt idx="11">
                  <c:v>0</c:v>
                </c:pt>
              </c:numCache>
            </c:numRef>
          </c:val>
          <c:extLst>
            <c:ext xmlns:c16="http://schemas.microsoft.com/office/drawing/2014/chart" uri="{C3380CC4-5D6E-409C-BE32-E72D297353CC}">
              <c16:uniqueId val="{0000005E-C5AF-419B-8360-F3658EC65968}"/>
            </c:ext>
          </c:extLst>
        </c:ser>
        <c:dLbls>
          <c:showLegendKey val="0"/>
          <c:showVal val="0"/>
          <c:showCatName val="0"/>
          <c:showSerName val="0"/>
          <c:showPercent val="0"/>
          <c:showBubbleSize val="0"/>
        </c:dLbls>
        <c:gapWidth val="150"/>
        <c:overlap val="100"/>
        <c:axId val="804886816"/>
        <c:axId val="786025120"/>
      </c:barChart>
      <c:catAx>
        <c:axId val="80488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6025120"/>
        <c:crosses val="autoZero"/>
        <c:auto val="1"/>
        <c:lblAlgn val="ctr"/>
        <c:lblOffset val="100"/>
        <c:noMultiLvlLbl val="0"/>
      </c:catAx>
      <c:valAx>
        <c:axId val="786025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886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visualization!$N$68</c:f>
              <c:strCache>
                <c:ptCount val="1"/>
                <c:pt idx="0">
                  <c:v>Count of Opportunity ID</c:v>
                </c:pt>
              </c:strCache>
            </c:strRef>
          </c:tx>
          <c:spPr>
            <a:solidFill>
              <a:schemeClr val="accent1"/>
            </a:solidFill>
            <a:ln>
              <a:noFill/>
            </a:ln>
            <a:effectLst/>
          </c:spPr>
          <c:invertIfNegative val="0"/>
          <c:dPt>
            <c:idx val="2"/>
            <c:invertIfNegative val="0"/>
            <c:bubble3D val="0"/>
            <c:spPr>
              <a:solidFill>
                <a:schemeClr val="accent1"/>
              </a:solidFill>
              <a:ln>
                <a:solidFill>
                  <a:schemeClr val="bg1"/>
                </a:solidFill>
              </a:ln>
              <a:effectLst/>
            </c:spPr>
            <c:extLst>
              <c:ext xmlns:c16="http://schemas.microsoft.com/office/drawing/2014/chart" uri="{C3380CC4-5D6E-409C-BE32-E72D297353CC}">
                <c16:uniqueId val="{00000001-3189-4A68-8132-060CF5B1AE5D}"/>
              </c:ext>
            </c:extLst>
          </c:dPt>
          <c:cat>
            <c:strRef>
              <c:f>visualization!$M$69:$M$71</c:f>
              <c:strCache>
                <c:ptCount val="3"/>
                <c:pt idx="0">
                  <c:v>Central</c:v>
                </c:pt>
                <c:pt idx="1">
                  <c:v>East</c:v>
                </c:pt>
                <c:pt idx="2">
                  <c:v>West</c:v>
                </c:pt>
              </c:strCache>
            </c:strRef>
          </c:cat>
          <c:val>
            <c:numRef>
              <c:f>visualization!$N$69:$N$71</c:f>
              <c:numCache>
                <c:formatCode>0%</c:formatCode>
                <c:ptCount val="3"/>
                <c:pt idx="0">
                  <c:v>0.36625514403292181</c:v>
                </c:pt>
                <c:pt idx="1">
                  <c:v>0.43621399176954734</c:v>
                </c:pt>
                <c:pt idx="2">
                  <c:v>0.19753086419753085</c:v>
                </c:pt>
              </c:numCache>
            </c:numRef>
          </c:val>
          <c:extLst>
            <c:ext xmlns:c16="http://schemas.microsoft.com/office/drawing/2014/chart" uri="{C3380CC4-5D6E-409C-BE32-E72D297353CC}">
              <c16:uniqueId val="{00000000-3189-4A68-8132-060CF5B1AE5D}"/>
            </c:ext>
          </c:extLst>
        </c:ser>
        <c:dLbls>
          <c:showLegendKey val="0"/>
          <c:showVal val="0"/>
          <c:showCatName val="0"/>
          <c:showSerName val="0"/>
          <c:showPercent val="0"/>
          <c:showBubbleSize val="0"/>
        </c:dLbls>
        <c:gapWidth val="182"/>
        <c:axId val="1312921616"/>
        <c:axId val="1230733920"/>
      </c:barChart>
      <c:catAx>
        <c:axId val="1312921616"/>
        <c:scaling>
          <c:orientation val="minMax"/>
        </c:scaling>
        <c:delete val="1"/>
        <c:axPos val="l"/>
        <c:numFmt formatCode="General" sourceLinked="1"/>
        <c:majorTickMark val="none"/>
        <c:minorTickMark val="none"/>
        <c:tickLblPos val="nextTo"/>
        <c:crossAx val="1230733920"/>
        <c:crosses val="autoZero"/>
        <c:auto val="1"/>
        <c:lblAlgn val="ctr"/>
        <c:lblOffset val="100"/>
        <c:noMultiLvlLbl val="0"/>
      </c:catAx>
      <c:valAx>
        <c:axId val="1230733920"/>
        <c:scaling>
          <c:orientation val="minMax"/>
          <c:max val="1"/>
          <c:min val="0"/>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312921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 Project.xlsm]visualization!PivotTable2</c:name>
    <c:fmtId val="30"/>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2B49"/>
          </a:solidFill>
          <a:ln w="19050">
            <a:noFill/>
          </a:ln>
          <a:effectLst/>
        </c:spPr>
      </c:pivotFmt>
      <c:pivotFmt>
        <c:idx val="11"/>
        <c:spPr>
          <a:solidFill>
            <a:srgbClr val="669BBC"/>
          </a:solidFill>
          <a:ln w="19050">
            <a:noFill/>
          </a:ln>
          <a:effectLst/>
        </c:spPr>
      </c:pivotFmt>
      <c:pivotFmt>
        <c:idx val="12"/>
        <c:spPr>
          <a:solidFill>
            <a:srgbClr val="C1121F"/>
          </a:solidFill>
          <a:ln w="19050">
            <a:noFill/>
          </a:ln>
          <a:effectLst/>
        </c:spPr>
      </c:pivotFmt>
      <c:pivotFmt>
        <c:idx val="1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002B49"/>
          </a:solidFill>
          <a:ln w="19050">
            <a:noFill/>
          </a:ln>
          <a:effectLst/>
        </c:spPr>
      </c:pivotFmt>
      <c:pivotFmt>
        <c:idx val="15"/>
        <c:spPr>
          <a:solidFill>
            <a:srgbClr val="669BBC"/>
          </a:solidFill>
          <a:ln w="19050">
            <a:noFill/>
          </a:ln>
          <a:effectLst/>
        </c:spPr>
      </c:pivotFmt>
      <c:pivotFmt>
        <c:idx val="16"/>
        <c:spPr>
          <a:solidFill>
            <a:srgbClr val="C1121F"/>
          </a:solidFill>
          <a:ln w="19050">
            <a:no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w="19050">
            <a:solidFill>
              <a:schemeClr val="lt1"/>
            </a:solidFill>
          </a:ln>
          <a:effectLst/>
        </c:spPr>
      </c:pivotFmt>
      <c:pivotFmt>
        <c:idx val="19"/>
        <c:spPr>
          <a:solidFill>
            <a:srgbClr val="6690BC"/>
          </a:solidFill>
          <a:ln w="19050">
            <a:solidFill>
              <a:schemeClr val="lt1"/>
            </a:solidFill>
          </a:ln>
          <a:effectLst/>
        </c:spPr>
      </c:pivotFmt>
      <c:pivotFmt>
        <c:idx val="20"/>
        <c:spPr>
          <a:solidFill>
            <a:srgbClr val="C1121F"/>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tx1"/>
          </a:solidFill>
          <a:ln w="19050">
            <a:solidFill>
              <a:schemeClr val="lt1"/>
            </a:solidFill>
          </a:ln>
          <a:effectLst/>
        </c:spPr>
      </c:pivotFmt>
      <c:pivotFmt>
        <c:idx val="23"/>
        <c:spPr>
          <a:solidFill>
            <a:srgbClr val="6690BC"/>
          </a:solidFill>
          <a:ln w="19050">
            <a:solidFill>
              <a:schemeClr val="lt1"/>
            </a:solidFill>
          </a:ln>
          <a:effectLst/>
        </c:spPr>
      </c:pivotFmt>
      <c:pivotFmt>
        <c:idx val="24"/>
        <c:spPr>
          <a:solidFill>
            <a:srgbClr val="C1121F"/>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tx1"/>
          </a:solidFill>
          <a:ln w="19050">
            <a:solidFill>
              <a:schemeClr val="lt1"/>
            </a:solidFill>
          </a:ln>
          <a:effectLst/>
        </c:spPr>
      </c:pivotFmt>
      <c:pivotFmt>
        <c:idx val="27"/>
        <c:spPr>
          <a:solidFill>
            <a:srgbClr val="6690BC"/>
          </a:solidFill>
          <a:ln w="19050">
            <a:solidFill>
              <a:schemeClr val="lt1"/>
            </a:solidFill>
          </a:ln>
          <a:effectLst/>
        </c:spPr>
      </c:pivotFmt>
      <c:pivotFmt>
        <c:idx val="28"/>
        <c:spPr>
          <a:solidFill>
            <a:srgbClr val="C1121F"/>
          </a:solidFill>
          <a:ln w="19050">
            <a:solidFill>
              <a:schemeClr val="lt1"/>
            </a:solidFill>
          </a:ln>
          <a:effectLst/>
        </c:spPr>
      </c:pivotFmt>
    </c:pivotFmts>
    <c:plotArea>
      <c:layout/>
      <c:doughnutChart>
        <c:varyColors val="1"/>
        <c:ser>
          <c:idx val="0"/>
          <c:order val="0"/>
          <c:tx>
            <c:strRef>
              <c:f>visualization!$B$21</c:f>
              <c:strCache>
                <c:ptCount val="1"/>
                <c:pt idx="0">
                  <c:v>Total</c:v>
                </c:pt>
              </c:strCache>
            </c:strRef>
          </c:tx>
          <c:dPt>
            <c:idx val="0"/>
            <c:bubble3D val="0"/>
            <c:spPr>
              <a:solidFill>
                <a:schemeClr val="tx1"/>
              </a:solidFill>
              <a:ln w="19050">
                <a:solidFill>
                  <a:schemeClr val="lt1"/>
                </a:solidFill>
              </a:ln>
              <a:effectLst/>
            </c:spPr>
            <c:extLst>
              <c:ext xmlns:c16="http://schemas.microsoft.com/office/drawing/2014/chart" uri="{C3380CC4-5D6E-409C-BE32-E72D297353CC}">
                <c16:uniqueId val="{00000001-629F-4C06-B9E0-92C673342CFD}"/>
              </c:ext>
            </c:extLst>
          </c:dPt>
          <c:dPt>
            <c:idx val="1"/>
            <c:bubble3D val="0"/>
            <c:spPr>
              <a:solidFill>
                <a:srgbClr val="6690BC"/>
              </a:solidFill>
              <a:ln w="19050">
                <a:solidFill>
                  <a:schemeClr val="lt1"/>
                </a:solidFill>
              </a:ln>
              <a:effectLst/>
            </c:spPr>
            <c:extLst>
              <c:ext xmlns:c16="http://schemas.microsoft.com/office/drawing/2014/chart" uri="{C3380CC4-5D6E-409C-BE32-E72D297353CC}">
                <c16:uniqueId val="{00000003-629F-4C06-B9E0-92C673342CFD}"/>
              </c:ext>
            </c:extLst>
          </c:dPt>
          <c:dPt>
            <c:idx val="2"/>
            <c:bubble3D val="0"/>
            <c:spPr>
              <a:solidFill>
                <a:srgbClr val="C1121F"/>
              </a:solidFill>
              <a:ln w="19050">
                <a:solidFill>
                  <a:schemeClr val="lt1"/>
                </a:solidFill>
              </a:ln>
              <a:effectLst/>
            </c:spPr>
            <c:extLst>
              <c:ext xmlns:c16="http://schemas.microsoft.com/office/drawing/2014/chart" uri="{C3380CC4-5D6E-409C-BE32-E72D297353CC}">
                <c16:uniqueId val="{00000005-629F-4C06-B9E0-92C673342CFD}"/>
              </c:ext>
            </c:extLst>
          </c:dPt>
          <c:cat>
            <c:strRef>
              <c:f>visualization!$A$22:$A$24</c:f>
              <c:strCache>
                <c:ptCount val="3"/>
                <c:pt idx="0">
                  <c:v>Central</c:v>
                </c:pt>
                <c:pt idx="1">
                  <c:v>East</c:v>
                </c:pt>
                <c:pt idx="2">
                  <c:v>West</c:v>
                </c:pt>
              </c:strCache>
            </c:strRef>
          </c:cat>
          <c:val>
            <c:numRef>
              <c:f>visualization!$B$22:$B$24</c:f>
              <c:numCache>
                <c:formatCode>_-[$$-409]* #,##0.00_ ;_-[$$-409]* \-#,##0.00\ ;_-[$$-409]* "-"??_ ;_-@_ </c:formatCode>
                <c:ptCount val="3"/>
                <c:pt idx="0">
                  <c:v>162645112</c:v>
                </c:pt>
                <c:pt idx="1">
                  <c:v>193154146</c:v>
                </c:pt>
                <c:pt idx="2">
                  <c:v>105321641</c:v>
                </c:pt>
              </c:numCache>
            </c:numRef>
          </c:val>
          <c:extLst>
            <c:ext xmlns:c16="http://schemas.microsoft.com/office/drawing/2014/chart" uri="{C3380CC4-5D6E-409C-BE32-E72D297353CC}">
              <c16:uniqueId val="{00000009-C4B2-41FB-86A2-3CB7DD393216}"/>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71061309638E-2"/>
          <c:y val="0.113427225247206"/>
          <c:w val="0.91423001949317739"/>
          <c:h val="0.70666666666666667"/>
        </c:manualLayout>
      </c:layout>
      <c:barChart>
        <c:barDir val="bar"/>
        <c:grouping val="clustered"/>
        <c:varyColors val="0"/>
        <c:ser>
          <c:idx val="0"/>
          <c:order val="0"/>
          <c:tx>
            <c:strRef>
              <c:f>visualization!$N$68</c:f>
              <c:strCache>
                <c:ptCount val="1"/>
                <c:pt idx="0">
                  <c:v>Count of Opportunity ID</c:v>
                </c:pt>
              </c:strCache>
            </c:strRef>
          </c:tx>
          <c:spPr>
            <a:solidFill>
              <a:schemeClr val="accent6"/>
            </a:solidFill>
            <a:ln>
              <a:noFill/>
            </a:ln>
            <a:effectLst/>
          </c:spPr>
          <c:invertIfNegative val="0"/>
          <c:dPt>
            <c:idx val="2"/>
            <c:invertIfNegative val="0"/>
            <c:bubble3D val="0"/>
            <c:spPr>
              <a:solidFill>
                <a:srgbClr val="C1121F"/>
              </a:solidFill>
              <a:ln>
                <a:noFill/>
              </a:ln>
              <a:effectLst/>
            </c:spPr>
            <c:extLst>
              <c:ext xmlns:c16="http://schemas.microsoft.com/office/drawing/2014/chart" uri="{C3380CC4-5D6E-409C-BE32-E72D297353CC}">
                <c16:uniqueId val="{00000001-5AC5-429B-8341-A1E17A5E3D60}"/>
              </c:ext>
            </c:extLst>
          </c:dPt>
          <c:cat>
            <c:strRef>
              <c:f>visualization!$M$69:$M$71</c:f>
              <c:strCache>
                <c:ptCount val="3"/>
                <c:pt idx="0">
                  <c:v>Central</c:v>
                </c:pt>
                <c:pt idx="1">
                  <c:v>East</c:v>
                </c:pt>
                <c:pt idx="2">
                  <c:v>West</c:v>
                </c:pt>
              </c:strCache>
            </c:strRef>
          </c:cat>
          <c:val>
            <c:numRef>
              <c:f>visualization!$N$69:$N$71</c:f>
              <c:numCache>
                <c:formatCode>0%</c:formatCode>
                <c:ptCount val="3"/>
                <c:pt idx="0">
                  <c:v>0.36625514403292181</c:v>
                </c:pt>
                <c:pt idx="1">
                  <c:v>0.43621399176954734</c:v>
                </c:pt>
                <c:pt idx="2">
                  <c:v>0.19753086419753085</c:v>
                </c:pt>
              </c:numCache>
            </c:numRef>
          </c:val>
          <c:extLst>
            <c:ext xmlns:c16="http://schemas.microsoft.com/office/drawing/2014/chart" uri="{C3380CC4-5D6E-409C-BE32-E72D297353CC}">
              <c16:uniqueId val="{00000002-5AC5-429B-8341-A1E17A5E3D60}"/>
            </c:ext>
          </c:extLst>
        </c:ser>
        <c:dLbls>
          <c:showLegendKey val="0"/>
          <c:showVal val="0"/>
          <c:showCatName val="0"/>
          <c:showSerName val="0"/>
          <c:showPercent val="0"/>
          <c:showBubbleSize val="0"/>
        </c:dLbls>
        <c:gapWidth val="3"/>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tx>
            <c:strRef>
              <c:f>visualization!$N$68</c:f>
              <c:strCache>
                <c:ptCount val="1"/>
                <c:pt idx="0">
                  <c:v>Count of Opportunity ID</c:v>
                </c:pt>
              </c:strCache>
            </c:strRef>
          </c:tx>
          <c:spPr>
            <a:solidFill>
              <a:schemeClr val="accent1"/>
            </a:solidFill>
            <a:ln>
              <a:noFill/>
            </a:ln>
            <a:effectLst/>
          </c:spPr>
          <c:invertIfNegative val="0"/>
          <c:dPt>
            <c:idx val="0"/>
            <c:invertIfNegative val="0"/>
            <c:bubble3D val="0"/>
            <c:spPr>
              <a:solidFill>
                <a:schemeClr val="bg1"/>
              </a:solidFill>
              <a:ln>
                <a:noFill/>
              </a:ln>
              <a:effectLst/>
            </c:spPr>
            <c:extLst>
              <c:ext xmlns:c16="http://schemas.microsoft.com/office/drawing/2014/chart" uri="{C3380CC4-5D6E-409C-BE32-E72D297353CC}">
                <c16:uniqueId val="{00000001-EE5C-4B35-92D6-AFF5FE55E56C}"/>
              </c:ext>
            </c:extLst>
          </c:dPt>
          <c:dPt>
            <c:idx val="1"/>
            <c:invertIfNegative val="0"/>
            <c:bubble3D val="0"/>
            <c:spPr>
              <a:solidFill>
                <a:srgbClr val="6690BC"/>
              </a:solidFill>
              <a:ln>
                <a:noFill/>
              </a:ln>
              <a:effectLst/>
            </c:spPr>
            <c:extLst>
              <c:ext xmlns:c16="http://schemas.microsoft.com/office/drawing/2014/chart" uri="{C3380CC4-5D6E-409C-BE32-E72D297353CC}">
                <c16:uniqueId val="{00000003-EE5C-4B35-92D6-AFF5FE55E56C}"/>
              </c:ext>
            </c:extLst>
          </c:dPt>
          <c:cat>
            <c:strRef>
              <c:f>visualization!$M$69:$M$71</c:f>
              <c:strCache>
                <c:ptCount val="3"/>
                <c:pt idx="0">
                  <c:v>Central</c:v>
                </c:pt>
                <c:pt idx="1">
                  <c:v>East</c:v>
                </c:pt>
                <c:pt idx="2">
                  <c:v>West</c:v>
                </c:pt>
              </c:strCache>
            </c:strRef>
          </c:cat>
          <c:val>
            <c:numRef>
              <c:f>visualization!$N$69:$N$71</c:f>
              <c:numCache>
                <c:formatCode>0%</c:formatCode>
                <c:ptCount val="3"/>
                <c:pt idx="0">
                  <c:v>0.36625514403292181</c:v>
                </c:pt>
                <c:pt idx="1">
                  <c:v>0.43621399176954734</c:v>
                </c:pt>
                <c:pt idx="2">
                  <c:v>0.19753086419753085</c:v>
                </c:pt>
              </c:numCache>
            </c:numRef>
          </c:val>
          <c:extLst>
            <c:ext xmlns:c16="http://schemas.microsoft.com/office/drawing/2014/chart" uri="{C3380CC4-5D6E-409C-BE32-E72D297353CC}">
              <c16:uniqueId val="{00000004-EE5C-4B35-92D6-AFF5FE55E56C}"/>
            </c:ext>
          </c:extLst>
        </c:ser>
        <c:dLbls>
          <c:showLegendKey val="0"/>
          <c:showVal val="0"/>
          <c:showCatName val="0"/>
          <c:showSerName val="0"/>
          <c:showPercent val="0"/>
          <c:showBubbleSize val="0"/>
        </c:dLbls>
        <c:gapWidth val="0"/>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293537655746735E-2"/>
          <c:y val="0.24444444444444444"/>
          <c:w val="0.94341292468850668"/>
          <c:h val="0.58371653543307089"/>
        </c:manualLayout>
      </c:layout>
      <c:areaChart>
        <c:grouping val="standard"/>
        <c:varyColors val="0"/>
        <c:ser>
          <c:idx val="0"/>
          <c:order val="0"/>
          <c:tx>
            <c:strRef>
              <c:f>visualization!$E$3</c:f>
              <c:strCache>
                <c:ptCount val="1"/>
                <c:pt idx="0">
                  <c:v>Revenue</c:v>
                </c:pt>
              </c:strCache>
            </c:strRef>
          </c:tx>
          <c:spPr>
            <a:gradFill>
              <a:gsLst>
                <a:gs pos="0">
                  <a:srgbClr val="C1121F"/>
                </a:gs>
                <a:gs pos="100000">
                  <a:schemeClr val="bg1"/>
                </a:gs>
                <a:gs pos="97000">
                  <a:schemeClr val="bg1"/>
                </a:gs>
                <a:gs pos="100000">
                  <a:schemeClr val="bg1"/>
                </a:gs>
              </a:gsLst>
              <a:lin ang="5400000" scaled="1"/>
            </a:gradFill>
            <a:ln w="25400">
              <a:noFill/>
            </a:ln>
            <a:effectLst/>
          </c:spPr>
          <c:cat>
            <c:strRef>
              <c:f>visualization!$D$4:$D$15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visualization!$E$4:$E$15</c:f>
              <c:numCache>
                <c:formatCode>"₹"\ #,##0</c:formatCode>
                <c:ptCount val="12"/>
                <c:pt idx="0">
                  <c:v>103719933</c:v>
                </c:pt>
                <c:pt idx="1">
                  <c:v>48957215</c:v>
                </c:pt>
                <c:pt idx="2">
                  <c:v>51818682</c:v>
                </c:pt>
                <c:pt idx="3">
                  <c:v>43464447</c:v>
                </c:pt>
                <c:pt idx="4">
                  <c:v>43320655</c:v>
                </c:pt>
                <c:pt idx="5">
                  <c:v>47191897</c:v>
                </c:pt>
                <c:pt idx="6">
                  <c:v>29441321</c:v>
                </c:pt>
                <c:pt idx="7">
                  <c:v>15810777</c:v>
                </c:pt>
                <c:pt idx="8">
                  <c:v>19885432</c:v>
                </c:pt>
                <c:pt idx="9">
                  <c:v>9271364</c:v>
                </c:pt>
                <c:pt idx="10">
                  <c:v>12858776</c:v>
                </c:pt>
                <c:pt idx="11">
                  <c:v>35380400</c:v>
                </c:pt>
              </c:numCache>
            </c:numRef>
          </c:val>
          <c:extLst>
            <c:ext xmlns:c16="http://schemas.microsoft.com/office/drawing/2014/chart" uri="{C3380CC4-5D6E-409C-BE32-E72D297353CC}">
              <c16:uniqueId val="{00000000-B4CF-42C4-AD23-F55E59463198}"/>
            </c:ext>
          </c:extLst>
        </c:ser>
        <c:dLbls>
          <c:showLegendKey val="0"/>
          <c:showVal val="0"/>
          <c:showCatName val="0"/>
          <c:showSerName val="0"/>
          <c:showPercent val="0"/>
          <c:showBubbleSize val="0"/>
        </c:dLbls>
        <c:axId val="459544952"/>
        <c:axId val="459540688"/>
      </c:areaChart>
      <c:lineChart>
        <c:grouping val="stacked"/>
        <c:varyColors val="0"/>
        <c:ser>
          <c:idx val="1"/>
          <c:order val="1"/>
          <c:tx>
            <c:strRef>
              <c:f>visualization!$F$3</c:f>
              <c:strCache>
                <c:ptCount val="1"/>
                <c:pt idx="0">
                  <c:v>Revenue</c:v>
                </c:pt>
              </c:strCache>
            </c:strRef>
          </c:tx>
          <c:spPr>
            <a:ln w="44450" cap="rnd">
              <a:solidFill>
                <a:srgbClr val="C1121F"/>
              </a:solidFill>
              <a:round/>
              <a:headEnd type="oval"/>
            </a:ln>
            <a:effectLst/>
          </c:spPr>
          <c:marker>
            <c:symbol val="none"/>
          </c:marker>
          <c:cat>
            <c:strRef>
              <c:f>visualization!$D$4:$D$15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visualization!$F$4:$F$15</c:f>
              <c:numCache>
                <c:formatCode>"₹"\ #,##0</c:formatCode>
                <c:ptCount val="12"/>
                <c:pt idx="0">
                  <c:v>103719933</c:v>
                </c:pt>
                <c:pt idx="1">
                  <c:v>48957215</c:v>
                </c:pt>
                <c:pt idx="2">
                  <c:v>51818682</c:v>
                </c:pt>
                <c:pt idx="3">
                  <c:v>43464447</c:v>
                </c:pt>
                <c:pt idx="4">
                  <c:v>43320655</c:v>
                </c:pt>
                <c:pt idx="5">
                  <c:v>47191897</c:v>
                </c:pt>
                <c:pt idx="6">
                  <c:v>29441321</c:v>
                </c:pt>
                <c:pt idx="7">
                  <c:v>15810777</c:v>
                </c:pt>
                <c:pt idx="8">
                  <c:v>19885432</c:v>
                </c:pt>
                <c:pt idx="9">
                  <c:v>9271364</c:v>
                </c:pt>
                <c:pt idx="10">
                  <c:v>12858776</c:v>
                </c:pt>
                <c:pt idx="11">
                  <c:v>35380400</c:v>
                </c:pt>
              </c:numCache>
            </c:numRef>
          </c:val>
          <c:smooth val="1"/>
          <c:extLst>
            <c:ext xmlns:c16="http://schemas.microsoft.com/office/drawing/2014/chart" uri="{C3380CC4-5D6E-409C-BE32-E72D297353CC}">
              <c16:uniqueId val="{00000001-B4CF-42C4-AD23-F55E59463198}"/>
            </c:ext>
          </c:extLst>
        </c:ser>
        <c:dLbls>
          <c:showLegendKey val="0"/>
          <c:showVal val="0"/>
          <c:showCatName val="0"/>
          <c:showSerName val="0"/>
          <c:showPercent val="0"/>
          <c:showBubbleSize val="0"/>
        </c:dLbls>
        <c:marker val="1"/>
        <c:smooth val="0"/>
        <c:axId val="459544952"/>
        <c:axId val="459540688"/>
      </c:lineChart>
      <c:catAx>
        <c:axId val="4595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59540688"/>
        <c:crosses val="autoZero"/>
        <c:auto val="1"/>
        <c:lblAlgn val="ctr"/>
        <c:lblOffset val="100"/>
        <c:noMultiLvlLbl val="0"/>
      </c:catAx>
      <c:valAx>
        <c:axId val="459540688"/>
        <c:scaling>
          <c:orientation val="minMax"/>
        </c:scaling>
        <c:delete val="1"/>
        <c:axPos val="l"/>
        <c:numFmt formatCode="&quot;₹&quot;\ #,##0" sourceLinked="1"/>
        <c:majorTickMark val="none"/>
        <c:minorTickMark val="none"/>
        <c:tickLblPos val="nextTo"/>
        <c:crossAx val="459544952"/>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visualization!$M$257</c:f>
              <c:strCache>
                <c:ptCount val="1"/>
                <c:pt idx="0">
                  <c:v>Small</c:v>
                </c:pt>
              </c:strCache>
            </c:strRef>
          </c:tx>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6321-4B52-B118-1E8C7A641EEF}"/>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321-4B52-B118-1E8C7A641EEF}"/>
              </c:ext>
            </c:extLst>
          </c:dPt>
          <c:cat>
            <c:strRef>
              <c:f>visualization!$N$256:$O$256</c:f>
              <c:strCache>
                <c:ptCount val="2"/>
                <c:pt idx="0">
                  <c:v>Count of Opportunity ID</c:v>
                </c:pt>
                <c:pt idx="1">
                  <c:v>bl</c:v>
                </c:pt>
              </c:strCache>
            </c:strRef>
          </c:cat>
          <c:val>
            <c:numRef>
              <c:f>visualization!$N$257:$O$257</c:f>
              <c:numCache>
                <c:formatCode>0%</c:formatCode>
                <c:ptCount val="2"/>
                <c:pt idx="0" formatCode="0.0%">
                  <c:v>0.33539094650205764</c:v>
                </c:pt>
                <c:pt idx="1">
                  <c:v>0.6646090534979423</c:v>
                </c:pt>
              </c:numCache>
            </c:numRef>
          </c:val>
          <c:extLst>
            <c:ext xmlns:c16="http://schemas.microsoft.com/office/drawing/2014/chart" uri="{C3380CC4-5D6E-409C-BE32-E72D297353CC}">
              <c16:uniqueId val="{00000004-6321-4B52-B118-1E8C7A641EEF}"/>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visualization!$M$251</c:f>
              <c:strCache>
                <c:ptCount val="1"/>
                <c:pt idx="0">
                  <c:v>Large</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CB66-4C07-9474-EF9F2CE60020}"/>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CB66-4C07-9474-EF9F2CE60020}"/>
              </c:ext>
            </c:extLst>
          </c:dPt>
          <c:cat>
            <c:strRef>
              <c:f>visualization!$N$250:$O$250</c:f>
              <c:strCache>
                <c:ptCount val="2"/>
                <c:pt idx="0">
                  <c:v>Count of Opportunity ID</c:v>
                </c:pt>
                <c:pt idx="1">
                  <c:v>bl</c:v>
                </c:pt>
              </c:strCache>
            </c:strRef>
          </c:cat>
          <c:val>
            <c:numRef>
              <c:f>visualization!$N$251:$O$251</c:f>
              <c:numCache>
                <c:formatCode>0%</c:formatCode>
                <c:ptCount val="2"/>
                <c:pt idx="0" formatCode="0.0%">
                  <c:v>0.33333333333333331</c:v>
                </c:pt>
                <c:pt idx="1">
                  <c:v>0.66666666666666674</c:v>
                </c:pt>
              </c:numCache>
            </c:numRef>
          </c:val>
          <c:extLst>
            <c:ext xmlns:c16="http://schemas.microsoft.com/office/drawing/2014/chart" uri="{C3380CC4-5D6E-409C-BE32-E72D297353CC}">
              <c16:uniqueId val="{00000004-CB66-4C07-9474-EF9F2CE60020}"/>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visualization!$N$14</c:f>
              <c:strCache>
                <c:ptCount val="1"/>
                <c:pt idx="0">
                  <c:v>Qrt 3</c:v>
                </c:pt>
              </c:strCache>
            </c:strRef>
          </c:tx>
          <c:spPr>
            <a:ln>
              <a:noFill/>
            </a:ln>
          </c:spPr>
          <c:dPt>
            <c:idx val="0"/>
            <c:bubble3D val="0"/>
            <c:spPr>
              <a:solidFill>
                <a:srgbClr val="6690BC"/>
              </a:solidFill>
              <a:ln w="19050">
                <a:noFill/>
              </a:ln>
              <a:effectLst/>
            </c:spPr>
            <c:extLst>
              <c:ext xmlns:c16="http://schemas.microsoft.com/office/drawing/2014/chart" uri="{C3380CC4-5D6E-409C-BE32-E72D297353CC}">
                <c16:uniqueId val="{00000001-F082-4B0D-B994-999A2088E9EA}"/>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F082-4B0D-B994-999A2088E9EA}"/>
              </c:ext>
            </c:extLst>
          </c:dPt>
          <c:val>
            <c:numRef>
              <c:f>visualization!$O$14:$P$14</c:f>
              <c:numCache>
                <c:formatCode>0%</c:formatCode>
                <c:ptCount val="2"/>
                <c:pt idx="0">
                  <c:v>0.14125911478152284</c:v>
                </c:pt>
                <c:pt idx="1">
                  <c:v>0.85874088521847713</c:v>
                </c:pt>
              </c:numCache>
            </c:numRef>
          </c:val>
          <c:extLst>
            <c:ext xmlns:c16="http://schemas.microsoft.com/office/drawing/2014/chart" uri="{C3380CC4-5D6E-409C-BE32-E72D297353CC}">
              <c16:uniqueId val="{00000004-F082-4B0D-B994-999A2088E9E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visualization!$N$15</c:f>
              <c:strCache>
                <c:ptCount val="1"/>
                <c:pt idx="0">
                  <c:v>Qrt 4</c:v>
                </c:pt>
              </c:strCache>
            </c:strRef>
          </c:tx>
          <c:spPr>
            <a:solidFill>
              <a:schemeClr val="bg1">
                <a:lumMod val="85000"/>
              </a:schemeClr>
            </a:solidFill>
            <a:ln>
              <a:noFill/>
            </a:ln>
          </c:spPr>
          <c:dPt>
            <c:idx val="0"/>
            <c:bubble3D val="0"/>
            <c:spPr>
              <a:solidFill>
                <a:srgbClr val="FF0000"/>
              </a:solidFill>
              <a:ln w="19050">
                <a:noFill/>
              </a:ln>
              <a:effectLst/>
            </c:spPr>
            <c:extLst>
              <c:ext xmlns:c16="http://schemas.microsoft.com/office/drawing/2014/chart" uri="{C3380CC4-5D6E-409C-BE32-E72D297353CC}">
                <c16:uniqueId val="{00000001-142C-4B4F-8D82-DDCD1B2F845A}"/>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42C-4B4F-8D82-DDCD1B2F845A}"/>
              </c:ext>
            </c:extLst>
          </c:dPt>
          <c:val>
            <c:numRef>
              <c:f>visualization!$O$15:$P$15</c:f>
              <c:numCache>
                <c:formatCode>0%</c:formatCode>
                <c:ptCount val="2"/>
                <c:pt idx="0">
                  <c:v>0.12471900563327103</c:v>
                </c:pt>
                <c:pt idx="1">
                  <c:v>0.87528099436672901</c:v>
                </c:pt>
              </c:numCache>
            </c:numRef>
          </c:val>
          <c:extLst>
            <c:ext xmlns:c16="http://schemas.microsoft.com/office/drawing/2014/chart" uri="{C3380CC4-5D6E-409C-BE32-E72D297353CC}">
              <c16:uniqueId val="{00000004-142C-4B4F-8D82-DDCD1B2F845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44044044044044E-2"/>
          <c:y val="5.0925925925925923E-2"/>
          <c:w val="0.59159159159159169"/>
          <c:h val="0.89814814814814814"/>
        </c:manualLayout>
      </c:layout>
      <c:barChart>
        <c:barDir val="bar"/>
        <c:grouping val="clustered"/>
        <c:varyColors val="0"/>
        <c:ser>
          <c:idx val="0"/>
          <c:order val="0"/>
          <c:tx>
            <c:strRef>
              <c:f>visualization!$E$452</c:f>
              <c:strCache>
                <c:ptCount val="1"/>
                <c:pt idx="0">
                  <c:v>Revenue</c:v>
                </c:pt>
              </c:strCache>
            </c:strRef>
          </c:tx>
          <c:spPr>
            <a:solidFill>
              <a:srgbClr val="6690BC"/>
            </a:solidFill>
            <a:ln>
              <a:noFill/>
            </a:ln>
            <a:effectLst/>
          </c:spPr>
          <c:invertIfNegative val="0"/>
          <c:cat>
            <c:strRef>
              <c:f>visualization!$D$453:$D$469</c:f>
              <c:strCache>
                <c:ptCount val="17"/>
                <c:pt idx="0">
                  <c:v>Direct</c:v>
                </c:pt>
                <c:pt idx="1">
                  <c:v>Sontaxon</c:v>
                </c:pt>
                <c:pt idx="2">
                  <c:v>Joblamcon</c:v>
                </c:pt>
                <c:pt idx="3">
                  <c:v>Quadsoloace</c:v>
                </c:pt>
                <c:pt idx="4">
                  <c:v>Ventolane</c:v>
                </c:pt>
                <c:pt idx="5">
                  <c:v>Drillelectronics</c:v>
                </c:pt>
                <c:pt idx="6">
                  <c:v>Songreen</c:v>
                </c:pt>
                <c:pt idx="7">
                  <c:v>Zoomtone</c:v>
                </c:pt>
                <c:pt idx="8">
                  <c:v>Movestreet</c:v>
                </c:pt>
                <c:pt idx="9">
                  <c:v>Hotlam</c:v>
                </c:pt>
                <c:pt idx="10">
                  <c:v>Is-technology</c:v>
                </c:pt>
                <c:pt idx="11">
                  <c:v>Quadtex</c:v>
                </c:pt>
                <c:pt idx="12">
                  <c:v>Nimdax</c:v>
                </c:pt>
                <c:pt idx="13">
                  <c:v>Indiity</c:v>
                </c:pt>
                <c:pt idx="14">
                  <c:v>Free-electronics</c:v>
                </c:pt>
                <c:pt idx="15">
                  <c:v>Zaamphase</c:v>
                </c:pt>
                <c:pt idx="16">
                  <c:v>Flexzim</c:v>
                </c:pt>
              </c:strCache>
            </c:strRef>
          </c:cat>
          <c:val>
            <c:numRef>
              <c:f>visualization!$E$453:$E$469</c:f>
              <c:numCache>
                <c:formatCode>General</c:formatCode>
                <c:ptCount val="17"/>
                <c:pt idx="0">
                  <c:v>166245232</c:v>
                </c:pt>
                <c:pt idx="1">
                  <c:v>98183548</c:v>
                </c:pt>
                <c:pt idx="2">
                  <c:v>27924517</c:v>
                </c:pt>
                <c:pt idx="3">
                  <c:v>8611579</c:v>
                </c:pt>
                <c:pt idx="4">
                  <c:v>7061432</c:v>
                </c:pt>
                <c:pt idx="5">
                  <c:v>6616847</c:v>
                </c:pt>
                <c:pt idx="6">
                  <c:v>5692439</c:v>
                </c:pt>
                <c:pt idx="7">
                  <c:v>5522034</c:v>
                </c:pt>
                <c:pt idx="8">
                  <c:v>5443105</c:v>
                </c:pt>
                <c:pt idx="9">
                  <c:v>5270162</c:v>
                </c:pt>
                <c:pt idx="10">
                  <c:v>4936388</c:v>
                </c:pt>
                <c:pt idx="11">
                  <c:v>4445295</c:v>
                </c:pt>
                <c:pt idx="12">
                  <c:v>4389866</c:v>
                </c:pt>
                <c:pt idx="13">
                  <c:v>4350198</c:v>
                </c:pt>
                <c:pt idx="14">
                  <c:v>4293396</c:v>
                </c:pt>
                <c:pt idx="15">
                  <c:v>3626947</c:v>
                </c:pt>
                <c:pt idx="16">
                  <c:v>3483616</c:v>
                </c:pt>
              </c:numCache>
            </c:numRef>
          </c:val>
          <c:extLst>
            <c:ext xmlns:c16="http://schemas.microsoft.com/office/drawing/2014/chart" uri="{C3380CC4-5D6E-409C-BE32-E72D297353CC}">
              <c16:uniqueId val="{00000000-58EF-425D-A18B-E50B0D6CF343}"/>
            </c:ext>
          </c:extLst>
        </c:ser>
        <c:ser>
          <c:idx val="1"/>
          <c:order val="1"/>
          <c:tx>
            <c:strRef>
              <c:f>visualization!$F$452</c:f>
              <c:strCache>
                <c:ptCount val="1"/>
                <c:pt idx="0">
                  <c:v>Top</c:v>
                </c:pt>
              </c:strCache>
            </c:strRef>
          </c:tx>
          <c:spPr>
            <a:solidFill>
              <a:srgbClr val="C00000"/>
            </a:solidFill>
            <a:ln>
              <a:noFill/>
            </a:ln>
            <a:effectLst/>
          </c:spPr>
          <c:invertIfNegative val="0"/>
          <c:val>
            <c:numRef>
              <c:f>visualization!$F$453:$F$469</c:f>
              <c:numCache>
                <c:formatCode>General</c:formatCode>
                <c:ptCount val="17"/>
                <c:pt idx="0">
                  <c:v>166245232</c:v>
                </c:pt>
                <c:pt idx="1">
                  <c:v>98183548</c:v>
                </c:pt>
                <c:pt idx="2">
                  <c:v>27924517</c:v>
                </c:pt>
              </c:numCache>
            </c:numRef>
          </c:val>
          <c:extLst>
            <c:ext xmlns:c16="http://schemas.microsoft.com/office/drawing/2014/chart" uri="{C3380CC4-5D6E-409C-BE32-E72D297353CC}">
              <c16:uniqueId val="{00000001-58EF-425D-A18B-E50B0D6CF343}"/>
            </c:ext>
          </c:extLst>
        </c:ser>
        <c:dLbls>
          <c:showLegendKey val="0"/>
          <c:showVal val="0"/>
          <c:showCatName val="0"/>
          <c:showSerName val="0"/>
          <c:showPercent val="0"/>
          <c:showBubbleSize val="0"/>
        </c:dLbls>
        <c:gapWidth val="21"/>
        <c:overlap val="100"/>
        <c:axId val="324773832"/>
        <c:axId val="324771864"/>
      </c:barChart>
      <c:catAx>
        <c:axId val="324773832"/>
        <c:scaling>
          <c:orientation val="maxMin"/>
        </c:scaling>
        <c:delete val="1"/>
        <c:axPos val="l"/>
        <c:numFmt formatCode="General" sourceLinked="1"/>
        <c:majorTickMark val="none"/>
        <c:minorTickMark val="none"/>
        <c:tickLblPos val="nextTo"/>
        <c:crossAx val="324771864"/>
        <c:crosses val="autoZero"/>
        <c:auto val="1"/>
        <c:lblAlgn val="ctr"/>
        <c:lblOffset val="100"/>
        <c:noMultiLvlLbl val="0"/>
      </c:catAx>
      <c:valAx>
        <c:axId val="324771864"/>
        <c:scaling>
          <c:orientation val="minMax"/>
        </c:scaling>
        <c:delete val="1"/>
        <c:axPos val="t"/>
        <c:numFmt formatCode="General" sourceLinked="1"/>
        <c:majorTickMark val="none"/>
        <c:minorTickMark val="none"/>
        <c:tickLblPos val="nextTo"/>
        <c:crossAx val="324773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visualization!$N$12</c:f>
              <c:strCache>
                <c:ptCount val="1"/>
                <c:pt idx="0">
                  <c:v>Qrt 1</c:v>
                </c:pt>
              </c:strCache>
            </c:strRef>
          </c:tx>
          <c:dPt>
            <c:idx val="0"/>
            <c:bubble3D val="0"/>
            <c:spPr>
              <a:solidFill>
                <a:srgbClr val="002060"/>
              </a:solidFill>
              <a:ln w="19050">
                <a:noFill/>
              </a:ln>
              <a:effectLst/>
            </c:spPr>
            <c:extLst>
              <c:ext xmlns:c16="http://schemas.microsoft.com/office/drawing/2014/chart" uri="{C3380CC4-5D6E-409C-BE32-E72D297353CC}">
                <c16:uniqueId val="{00000001-2796-4F33-B6E4-3F10EE97D4CF}"/>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2796-4F33-B6E4-3F10EE97D4CF}"/>
              </c:ext>
            </c:extLst>
          </c:dPt>
          <c:val>
            <c:numRef>
              <c:f>visualization!$O$12:$P$12</c:f>
              <c:numCache>
                <c:formatCode>0%</c:formatCode>
                <c:ptCount val="2"/>
                <c:pt idx="0">
                  <c:v>0.44347551898748361</c:v>
                </c:pt>
                <c:pt idx="1">
                  <c:v>0.55652448101251639</c:v>
                </c:pt>
              </c:numCache>
            </c:numRef>
          </c:val>
          <c:extLst>
            <c:ext xmlns:c16="http://schemas.microsoft.com/office/drawing/2014/chart" uri="{C3380CC4-5D6E-409C-BE32-E72D297353CC}">
              <c16:uniqueId val="{00000004-2796-4F33-B6E4-3F10EE97D4C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visualization!$N$13</c:f>
              <c:strCache>
                <c:ptCount val="1"/>
                <c:pt idx="0">
                  <c:v>Qrt 2</c:v>
                </c:pt>
              </c:strCache>
            </c:strRef>
          </c:tx>
          <c:spPr>
            <a:ln>
              <a:noFill/>
            </a:ln>
          </c:spPr>
          <c:dPt>
            <c:idx val="0"/>
            <c:bubble3D val="0"/>
            <c:spPr>
              <a:solidFill>
                <a:srgbClr val="C00000"/>
              </a:solidFill>
              <a:ln w="19050">
                <a:noFill/>
              </a:ln>
              <a:effectLst/>
            </c:spPr>
            <c:extLst>
              <c:ext xmlns:c16="http://schemas.microsoft.com/office/drawing/2014/chart" uri="{C3380CC4-5D6E-409C-BE32-E72D297353CC}">
                <c16:uniqueId val="{00000001-1E48-451E-A55E-0E4F0F2BC14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E48-451E-A55E-0E4F0F2BC14C}"/>
              </c:ext>
            </c:extLst>
          </c:dPt>
          <c:val>
            <c:numRef>
              <c:f>visualization!$O$13:$P$13</c:f>
              <c:numCache>
                <c:formatCode>0%</c:formatCode>
                <c:ptCount val="2"/>
                <c:pt idx="0">
                  <c:v>0.29054636059772254</c:v>
                </c:pt>
                <c:pt idx="1">
                  <c:v>0.70945363940227746</c:v>
                </c:pt>
              </c:numCache>
            </c:numRef>
          </c:val>
          <c:extLst>
            <c:ext xmlns:c16="http://schemas.microsoft.com/office/drawing/2014/chart" uri="{C3380CC4-5D6E-409C-BE32-E72D297353CC}">
              <c16:uniqueId val="{00000004-1E48-451E-A55E-0E4F0F2BC14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5.7762929971655372E-2"/>
          <c:w val="0.99525504151838673"/>
          <c:h val="0.90668143545855007"/>
        </c:manualLayout>
      </c:layout>
      <c:scatterChart>
        <c:scatterStyle val="lineMarker"/>
        <c:varyColors val="1"/>
        <c:ser>
          <c:idx val="0"/>
          <c:order val="0"/>
          <c:tx>
            <c:strRef>
              <c:f>visualization!$E$29</c:f>
              <c:strCache>
                <c:ptCount val="1"/>
                <c:pt idx="0">
                  <c:v>Revenue</c:v>
                </c:pt>
              </c:strCache>
            </c:strRef>
          </c:tx>
          <c:marker>
            <c:symbol val="circle"/>
            <c:size val="5"/>
            <c:spPr>
              <a:ln w="130175"/>
            </c:spPr>
          </c:marker>
          <c:dPt>
            <c:idx val="0"/>
            <c:marker>
              <c:symbol val="circle"/>
              <c:size val="5"/>
              <c:spPr>
                <a:solidFill>
                  <a:schemeClr val="accent1"/>
                </a:solidFill>
                <a:ln w="13017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1-4008-4D71-8422-1AE9AB15DD9D}"/>
              </c:ext>
            </c:extLst>
          </c:dPt>
          <c:dPt>
            <c:idx val="1"/>
            <c:marker>
              <c:symbol val="circle"/>
              <c:size val="5"/>
              <c:spPr>
                <a:solidFill>
                  <a:schemeClr val="accent2"/>
                </a:solidFill>
                <a:ln w="13017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3-4008-4D71-8422-1AE9AB15DD9D}"/>
              </c:ext>
            </c:extLst>
          </c:dPt>
          <c:dPt>
            <c:idx val="2"/>
            <c:marker>
              <c:symbol val="circle"/>
              <c:size val="5"/>
              <c:spPr>
                <a:solidFill>
                  <a:schemeClr val="accent3"/>
                </a:solidFill>
                <a:ln w="130175">
                  <a:solidFill>
                    <a:schemeClr val="accent3"/>
                  </a:solidFill>
                </a:ln>
                <a:effectLst/>
              </c:spPr>
            </c:marker>
            <c:bubble3D val="0"/>
            <c:spPr>
              <a:ln w="28575" cap="rnd">
                <a:solidFill>
                  <a:schemeClr val="accent3"/>
                </a:solidFill>
                <a:round/>
              </a:ln>
              <a:effectLst/>
            </c:spPr>
            <c:extLst>
              <c:ext xmlns:c16="http://schemas.microsoft.com/office/drawing/2014/chart" uri="{C3380CC4-5D6E-409C-BE32-E72D297353CC}">
                <c16:uniqueId val="{00000005-4008-4D71-8422-1AE9AB15DD9D}"/>
              </c:ext>
            </c:extLst>
          </c:dPt>
          <c:dPt>
            <c:idx val="3"/>
            <c:marker>
              <c:symbol val="circle"/>
              <c:size val="5"/>
              <c:spPr>
                <a:solidFill>
                  <a:schemeClr val="accent4"/>
                </a:solidFill>
                <a:ln w="130175">
                  <a:solidFill>
                    <a:schemeClr val="accent4"/>
                  </a:solidFill>
                </a:ln>
                <a:effectLst/>
              </c:spPr>
            </c:marker>
            <c:bubble3D val="0"/>
            <c:spPr>
              <a:ln w="28575" cap="rnd">
                <a:solidFill>
                  <a:schemeClr val="accent4"/>
                </a:solidFill>
                <a:round/>
              </a:ln>
              <a:effectLst/>
            </c:spPr>
            <c:extLst>
              <c:ext xmlns:c16="http://schemas.microsoft.com/office/drawing/2014/chart" uri="{C3380CC4-5D6E-409C-BE32-E72D297353CC}">
                <c16:uniqueId val="{00000007-4008-4D71-8422-1AE9AB15DD9D}"/>
              </c:ext>
            </c:extLst>
          </c:dPt>
          <c:dPt>
            <c:idx val="4"/>
            <c:marker>
              <c:symbol val="circle"/>
              <c:size val="5"/>
              <c:spPr>
                <a:solidFill>
                  <a:schemeClr val="accent5"/>
                </a:solidFill>
                <a:ln w="130175">
                  <a:solidFill>
                    <a:schemeClr val="accent5"/>
                  </a:solidFill>
                </a:ln>
                <a:effectLst/>
              </c:spPr>
            </c:marker>
            <c:bubble3D val="0"/>
            <c:spPr>
              <a:ln w="28575" cap="rnd">
                <a:solidFill>
                  <a:schemeClr val="accent5"/>
                </a:solidFill>
                <a:round/>
              </a:ln>
              <a:effectLst/>
            </c:spPr>
            <c:extLst>
              <c:ext xmlns:c16="http://schemas.microsoft.com/office/drawing/2014/chart" uri="{C3380CC4-5D6E-409C-BE32-E72D297353CC}">
                <c16:uniqueId val="{00000009-4008-4D71-8422-1AE9AB15DD9D}"/>
              </c:ext>
            </c:extLst>
          </c:dPt>
          <c:dPt>
            <c:idx val="5"/>
            <c:marker>
              <c:symbol val="circle"/>
              <c:size val="5"/>
              <c:spPr>
                <a:solidFill>
                  <a:schemeClr val="accent6"/>
                </a:solidFill>
                <a:ln w="130175">
                  <a:solidFill>
                    <a:schemeClr val="accent6"/>
                  </a:solidFill>
                </a:ln>
                <a:effectLst/>
              </c:spPr>
            </c:marker>
            <c:bubble3D val="0"/>
            <c:spPr>
              <a:ln w="28575" cap="rnd">
                <a:solidFill>
                  <a:schemeClr val="accent6"/>
                </a:solidFill>
                <a:round/>
              </a:ln>
              <a:effectLst/>
            </c:spPr>
            <c:extLst>
              <c:ext xmlns:c16="http://schemas.microsoft.com/office/drawing/2014/chart" uri="{C3380CC4-5D6E-409C-BE32-E72D297353CC}">
                <c16:uniqueId val="{0000000B-4008-4D71-8422-1AE9AB15DD9D}"/>
              </c:ext>
            </c:extLst>
          </c:dPt>
          <c:dPt>
            <c:idx val="6"/>
            <c:marker>
              <c:symbol val="circle"/>
              <c:size val="5"/>
              <c:spPr>
                <a:solidFill>
                  <a:schemeClr val="accent1">
                    <a:lumMod val="60000"/>
                  </a:schemeClr>
                </a:solidFill>
                <a:ln w="130175">
                  <a:solidFill>
                    <a:schemeClr val="accent1">
                      <a:lumMod val="60000"/>
                    </a:schemeClr>
                  </a:solidFill>
                </a:ln>
                <a:effectLst/>
              </c:spPr>
            </c:marker>
            <c:bubble3D val="0"/>
            <c:spPr>
              <a:ln w="28575" cap="rnd">
                <a:solidFill>
                  <a:schemeClr val="accent1">
                    <a:lumMod val="60000"/>
                  </a:schemeClr>
                </a:solidFill>
                <a:round/>
              </a:ln>
              <a:effectLst/>
            </c:spPr>
            <c:extLst>
              <c:ext xmlns:c16="http://schemas.microsoft.com/office/drawing/2014/chart" uri="{C3380CC4-5D6E-409C-BE32-E72D297353CC}">
                <c16:uniqueId val="{0000000D-4008-4D71-8422-1AE9AB15DD9D}"/>
              </c:ext>
            </c:extLst>
          </c:dPt>
          <c:dPt>
            <c:idx val="7"/>
            <c:marker>
              <c:symbol val="circle"/>
              <c:size val="5"/>
              <c:spPr>
                <a:solidFill>
                  <a:schemeClr val="accent2">
                    <a:lumMod val="60000"/>
                  </a:schemeClr>
                </a:solidFill>
                <a:ln w="130175">
                  <a:solidFill>
                    <a:schemeClr val="accent2">
                      <a:lumMod val="60000"/>
                    </a:schemeClr>
                  </a:solidFill>
                </a:ln>
                <a:effectLst/>
              </c:spPr>
            </c:marker>
            <c:bubble3D val="0"/>
            <c:spPr>
              <a:ln w="28575" cap="rnd">
                <a:solidFill>
                  <a:schemeClr val="accent2">
                    <a:lumMod val="60000"/>
                  </a:schemeClr>
                </a:solidFill>
                <a:round/>
              </a:ln>
              <a:effectLst/>
            </c:spPr>
            <c:extLst>
              <c:ext xmlns:c16="http://schemas.microsoft.com/office/drawing/2014/chart" uri="{C3380CC4-5D6E-409C-BE32-E72D297353CC}">
                <c16:uniqueId val="{0000000F-4008-4D71-8422-1AE9AB15DD9D}"/>
              </c:ext>
            </c:extLst>
          </c:dPt>
          <c:dPt>
            <c:idx val="8"/>
            <c:marker>
              <c:symbol val="circle"/>
              <c:size val="5"/>
              <c:spPr>
                <a:solidFill>
                  <a:schemeClr val="accent3">
                    <a:lumMod val="60000"/>
                  </a:schemeClr>
                </a:solidFill>
                <a:ln w="130175">
                  <a:solidFill>
                    <a:schemeClr val="accent3">
                      <a:lumMod val="60000"/>
                    </a:schemeClr>
                  </a:solidFill>
                </a:ln>
                <a:effectLst/>
              </c:spPr>
            </c:marker>
            <c:bubble3D val="0"/>
            <c:spPr>
              <a:ln w="28575" cap="rnd">
                <a:solidFill>
                  <a:schemeClr val="accent3">
                    <a:lumMod val="60000"/>
                  </a:schemeClr>
                </a:solidFill>
                <a:round/>
              </a:ln>
              <a:effectLst/>
            </c:spPr>
            <c:extLst>
              <c:ext xmlns:c16="http://schemas.microsoft.com/office/drawing/2014/chart" uri="{C3380CC4-5D6E-409C-BE32-E72D297353CC}">
                <c16:uniqueId val="{00000011-4008-4D71-8422-1AE9AB15DD9D}"/>
              </c:ext>
            </c:extLst>
          </c:dPt>
          <c:dPt>
            <c:idx val="9"/>
            <c:marker>
              <c:symbol val="circle"/>
              <c:size val="5"/>
              <c:spPr>
                <a:solidFill>
                  <a:schemeClr val="accent4">
                    <a:lumMod val="60000"/>
                  </a:schemeClr>
                </a:solidFill>
                <a:ln w="130175">
                  <a:solidFill>
                    <a:schemeClr val="accent4">
                      <a:lumMod val="60000"/>
                    </a:schemeClr>
                  </a:solidFill>
                </a:ln>
                <a:effectLst/>
              </c:spPr>
            </c:marker>
            <c:bubble3D val="0"/>
            <c:spPr>
              <a:ln w="28575" cap="rnd">
                <a:solidFill>
                  <a:schemeClr val="accent4">
                    <a:lumMod val="60000"/>
                  </a:schemeClr>
                </a:solidFill>
                <a:round/>
              </a:ln>
              <a:effectLst/>
            </c:spPr>
            <c:extLst>
              <c:ext xmlns:c16="http://schemas.microsoft.com/office/drawing/2014/chart" uri="{C3380CC4-5D6E-409C-BE32-E72D297353CC}">
                <c16:uniqueId val="{00000013-4008-4D71-8422-1AE9AB15DD9D}"/>
              </c:ext>
            </c:extLst>
          </c:dPt>
          <c:dPt>
            <c:idx val="10"/>
            <c:marker>
              <c:symbol val="circle"/>
              <c:size val="5"/>
              <c:spPr>
                <a:solidFill>
                  <a:schemeClr val="accent5">
                    <a:lumMod val="60000"/>
                  </a:schemeClr>
                </a:solidFill>
                <a:ln w="130175">
                  <a:solidFill>
                    <a:schemeClr val="accent5">
                      <a:lumMod val="60000"/>
                    </a:schemeClr>
                  </a:solidFill>
                </a:ln>
                <a:effectLst/>
              </c:spPr>
            </c:marker>
            <c:bubble3D val="0"/>
            <c:spPr>
              <a:ln w="28575" cap="rnd">
                <a:solidFill>
                  <a:schemeClr val="accent5">
                    <a:lumMod val="60000"/>
                  </a:schemeClr>
                </a:solidFill>
                <a:round/>
              </a:ln>
              <a:effectLst/>
            </c:spPr>
            <c:extLst>
              <c:ext xmlns:c16="http://schemas.microsoft.com/office/drawing/2014/chart" uri="{C3380CC4-5D6E-409C-BE32-E72D297353CC}">
                <c16:uniqueId val="{00000015-4008-4D71-8422-1AE9AB15DD9D}"/>
              </c:ext>
            </c:extLst>
          </c:dPt>
          <c:dPt>
            <c:idx val="11"/>
            <c:marker>
              <c:symbol val="circle"/>
              <c:size val="5"/>
              <c:spPr>
                <a:solidFill>
                  <a:schemeClr val="accent6">
                    <a:lumMod val="60000"/>
                  </a:schemeClr>
                </a:solidFill>
                <a:ln w="130175">
                  <a:solidFill>
                    <a:schemeClr val="accent6">
                      <a:lumMod val="60000"/>
                    </a:schemeClr>
                  </a:solidFill>
                </a:ln>
                <a:effectLst/>
              </c:spPr>
            </c:marker>
            <c:bubble3D val="0"/>
            <c:spPr>
              <a:ln w="28575" cap="rnd">
                <a:solidFill>
                  <a:schemeClr val="accent6">
                    <a:lumMod val="60000"/>
                  </a:schemeClr>
                </a:solidFill>
                <a:round/>
              </a:ln>
              <a:effectLst/>
            </c:spPr>
            <c:extLst>
              <c:ext xmlns:c16="http://schemas.microsoft.com/office/drawing/2014/chart" uri="{C3380CC4-5D6E-409C-BE32-E72D297353CC}">
                <c16:uniqueId val="{00000017-4008-4D71-8422-1AE9AB15DD9D}"/>
              </c:ext>
            </c:extLst>
          </c:dPt>
          <c:dPt>
            <c:idx val="12"/>
            <c:marker>
              <c:symbol val="circle"/>
              <c:size val="5"/>
              <c:spPr>
                <a:solidFill>
                  <a:schemeClr val="accent1">
                    <a:lumMod val="80000"/>
                    <a:lumOff val="20000"/>
                  </a:schemeClr>
                </a:solidFill>
                <a:ln w="130175">
                  <a:solidFill>
                    <a:schemeClr val="accent1">
                      <a:lumMod val="80000"/>
                      <a:lumOff val="20000"/>
                    </a:schemeClr>
                  </a:solidFill>
                </a:ln>
                <a:effectLst/>
              </c:spPr>
            </c:marker>
            <c:bubble3D val="0"/>
            <c:spPr>
              <a:ln w="28575" cap="rnd">
                <a:solidFill>
                  <a:schemeClr val="accent1">
                    <a:lumMod val="80000"/>
                    <a:lumOff val="20000"/>
                  </a:schemeClr>
                </a:solidFill>
                <a:round/>
              </a:ln>
              <a:effectLst/>
            </c:spPr>
            <c:extLst>
              <c:ext xmlns:c16="http://schemas.microsoft.com/office/drawing/2014/chart" uri="{C3380CC4-5D6E-409C-BE32-E72D297353CC}">
                <c16:uniqueId val="{00000019-4008-4D71-8422-1AE9AB15DD9D}"/>
              </c:ext>
            </c:extLst>
          </c:dPt>
          <c:dPt>
            <c:idx val="13"/>
            <c:marker>
              <c:symbol val="circle"/>
              <c:size val="5"/>
              <c:spPr>
                <a:solidFill>
                  <a:schemeClr val="accent2">
                    <a:lumMod val="80000"/>
                    <a:lumOff val="20000"/>
                  </a:schemeClr>
                </a:solidFill>
                <a:ln w="130175">
                  <a:solidFill>
                    <a:schemeClr val="accent2">
                      <a:lumMod val="80000"/>
                      <a:lumOff val="20000"/>
                    </a:schemeClr>
                  </a:solidFill>
                </a:ln>
                <a:effectLst/>
              </c:spPr>
            </c:marker>
            <c:bubble3D val="0"/>
            <c:spPr>
              <a:ln w="28575" cap="rnd">
                <a:solidFill>
                  <a:schemeClr val="accent2">
                    <a:lumMod val="80000"/>
                    <a:lumOff val="20000"/>
                  </a:schemeClr>
                </a:solidFill>
                <a:round/>
              </a:ln>
              <a:effectLst/>
            </c:spPr>
            <c:extLst>
              <c:ext xmlns:c16="http://schemas.microsoft.com/office/drawing/2014/chart" uri="{C3380CC4-5D6E-409C-BE32-E72D297353CC}">
                <c16:uniqueId val="{0000001B-4008-4D71-8422-1AE9AB15DD9D}"/>
              </c:ext>
            </c:extLst>
          </c:dPt>
          <c:dPt>
            <c:idx val="14"/>
            <c:marker>
              <c:symbol val="circle"/>
              <c:size val="5"/>
              <c:spPr>
                <a:solidFill>
                  <a:schemeClr val="accent3">
                    <a:lumMod val="80000"/>
                    <a:lumOff val="20000"/>
                  </a:schemeClr>
                </a:solidFill>
                <a:ln w="130175">
                  <a:solidFill>
                    <a:schemeClr val="accent3">
                      <a:lumMod val="80000"/>
                      <a:lumOff val="20000"/>
                    </a:schemeClr>
                  </a:solidFill>
                </a:ln>
                <a:effectLst/>
              </c:spPr>
            </c:marker>
            <c:bubble3D val="0"/>
            <c:spPr>
              <a:ln w="28575" cap="rnd">
                <a:solidFill>
                  <a:schemeClr val="accent3">
                    <a:lumMod val="80000"/>
                    <a:lumOff val="20000"/>
                  </a:schemeClr>
                </a:solidFill>
                <a:round/>
              </a:ln>
              <a:effectLst/>
            </c:spPr>
            <c:extLst>
              <c:ext xmlns:c16="http://schemas.microsoft.com/office/drawing/2014/chart" uri="{C3380CC4-5D6E-409C-BE32-E72D297353CC}">
                <c16:uniqueId val="{0000001D-4008-4D71-8422-1AE9AB15DD9D}"/>
              </c:ext>
            </c:extLst>
          </c:dPt>
          <c:dPt>
            <c:idx val="15"/>
            <c:marker>
              <c:symbol val="circle"/>
              <c:size val="5"/>
              <c:spPr>
                <a:solidFill>
                  <a:schemeClr val="accent4">
                    <a:lumMod val="80000"/>
                    <a:lumOff val="20000"/>
                  </a:schemeClr>
                </a:solidFill>
                <a:ln w="130175">
                  <a:solidFill>
                    <a:schemeClr val="accent4">
                      <a:lumMod val="80000"/>
                      <a:lumOff val="20000"/>
                    </a:schemeClr>
                  </a:solidFill>
                </a:ln>
                <a:effectLst/>
              </c:spPr>
            </c:marker>
            <c:bubble3D val="0"/>
            <c:spPr>
              <a:ln w="28575" cap="rnd">
                <a:solidFill>
                  <a:schemeClr val="accent4">
                    <a:lumMod val="80000"/>
                    <a:lumOff val="20000"/>
                  </a:schemeClr>
                </a:solidFill>
                <a:round/>
              </a:ln>
              <a:effectLst/>
            </c:spPr>
            <c:extLst>
              <c:ext xmlns:c16="http://schemas.microsoft.com/office/drawing/2014/chart" uri="{C3380CC4-5D6E-409C-BE32-E72D297353CC}">
                <c16:uniqueId val="{0000001F-4008-4D71-8422-1AE9AB15DD9D}"/>
              </c:ext>
            </c:extLst>
          </c:dPt>
          <c:dPt>
            <c:idx val="16"/>
            <c:marker>
              <c:symbol val="circle"/>
              <c:size val="5"/>
              <c:spPr>
                <a:solidFill>
                  <a:schemeClr val="accent5">
                    <a:lumMod val="80000"/>
                    <a:lumOff val="20000"/>
                  </a:schemeClr>
                </a:solidFill>
                <a:ln w="130175">
                  <a:solidFill>
                    <a:schemeClr val="accent5">
                      <a:lumMod val="80000"/>
                      <a:lumOff val="20000"/>
                    </a:schemeClr>
                  </a:solidFill>
                </a:ln>
                <a:effectLst/>
              </c:spPr>
            </c:marker>
            <c:bubble3D val="0"/>
            <c:spPr>
              <a:ln w="28575" cap="rnd">
                <a:solidFill>
                  <a:schemeClr val="accent5">
                    <a:lumMod val="80000"/>
                    <a:lumOff val="20000"/>
                  </a:schemeClr>
                </a:solidFill>
                <a:round/>
              </a:ln>
              <a:effectLst/>
            </c:spPr>
            <c:extLst>
              <c:ext xmlns:c16="http://schemas.microsoft.com/office/drawing/2014/chart" uri="{C3380CC4-5D6E-409C-BE32-E72D297353CC}">
                <c16:uniqueId val="{00000021-4008-4D71-8422-1AE9AB15DD9D}"/>
              </c:ext>
            </c:extLst>
          </c:dPt>
          <c:dPt>
            <c:idx val="17"/>
            <c:marker>
              <c:symbol val="circle"/>
              <c:size val="5"/>
              <c:spPr>
                <a:solidFill>
                  <a:schemeClr val="accent6">
                    <a:lumMod val="80000"/>
                    <a:lumOff val="20000"/>
                  </a:schemeClr>
                </a:solidFill>
                <a:ln w="130175">
                  <a:solidFill>
                    <a:schemeClr val="accent6">
                      <a:lumMod val="80000"/>
                      <a:lumOff val="20000"/>
                    </a:schemeClr>
                  </a:solidFill>
                </a:ln>
                <a:effectLst/>
              </c:spPr>
            </c:marker>
            <c:bubble3D val="0"/>
            <c:spPr>
              <a:ln w="28575" cap="rnd">
                <a:solidFill>
                  <a:schemeClr val="accent6">
                    <a:lumMod val="80000"/>
                    <a:lumOff val="20000"/>
                  </a:schemeClr>
                </a:solidFill>
                <a:round/>
              </a:ln>
              <a:effectLst/>
            </c:spPr>
            <c:extLst>
              <c:ext xmlns:c16="http://schemas.microsoft.com/office/drawing/2014/chart" uri="{C3380CC4-5D6E-409C-BE32-E72D297353CC}">
                <c16:uniqueId val="{00000023-4008-4D71-8422-1AE9AB15DD9D}"/>
              </c:ext>
            </c:extLst>
          </c:dPt>
          <c:dPt>
            <c:idx val="18"/>
            <c:marker>
              <c:symbol val="circle"/>
              <c:size val="5"/>
              <c:spPr>
                <a:solidFill>
                  <a:schemeClr val="accent1">
                    <a:lumMod val="80000"/>
                  </a:schemeClr>
                </a:solidFill>
                <a:ln w="130175">
                  <a:solidFill>
                    <a:schemeClr val="accent1">
                      <a:lumMod val="80000"/>
                    </a:schemeClr>
                  </a:solidFill>
                </a:ln>
                <a:effectLst/>
              </c:spPr>
            </c:marker>
            <c:bubble3D val="0"/>
            <c:spPr>
              <a:ln w="28575" cap="rnd">
                <a:solidFill>
                  <a:schemeClr val="accent1">
                    <a:lumMod val="80000"/>
                  </a:schemeClr>
                </a:solidFill>
                <a:round/>
              </a:ln>
              <a:effectLst/>
            </c:spPr>
            <c:extLst>
              <c:ext xmlns:c16="http://schemas.microsoft.com/office/drawing/2014/chart" uri="{C3380CC4-5D6E-409C-BE32-E72D297353CC}">
                <c16:uniqueId val="{00000025-4008-4D71-8422-1AE9AB15DD9D}"/>
              </c:ext>
            </c:extLst>
          </c:dPt>
          <c:dPt>
            <c:idx val="19"/>
            <c:marker>
              <c:symbol val="circle"/>
              <c:size val="5"/>
              <c:spPr>
                <a:solidFill>
                  <a:schemeClr val="accent2">
                    <a:lumMod val="80000"/>
                  </a:schemeClr>
                </a:solidFill>
                <a:ln w="130175">
                  <a:solidFill>
                    <a:schemeClr val="accent2">
                      <a:lumMod val="80000"/>
                    </a:schemeClr>
                  </a:solidFill>
                </a:ln>
                <a:effectLst/>
              </c:spPr>
            </c:marker>
            <c:bubble3D val="0"/>
            <c:spPr>
              <a:ln w="28575" cap="rnd">
                <a:solidFill>
                  <a:schemeClr val="accent2">
                    <a:lumMod val="80000"/>
                  </a:schemeClr>
                </a:solidFill>
                <a:round/>
              </a:ln>
              <a:effectLst/>
            </c:spPr>
            <c:extLst>
              <c:ext xmlns:c16="http://schemas.microsoft.com/office/drawing/2014/chart" uri="{C3380CC4-5D6E-409C-BE32-E72D297353CC}">
                <c16:uniqueId val="{00000027-4008-4D71-8422-1AE9AB15DD9D}"/>
              </c:ext>
            </c:extLst>
          </c:dPt>
          <c:dPt>
            <c:idx val="20"/>
            <c:marker>
              <c:symbol val="circle"/>
              <c:size val="5"/>
              <c:spPr>
                <a:solidFill>
                  <a:schemeClr val="accent3">
                    <a:lumMod val="80000"/>
                  </a:schemeClr>
                </a:solidFill>
                <a:ln w="130175">
                  <a:solidFill>
                    <a:schemeClr val="accent3">
                      <a:lumMod val="80000"/>
                    </a:schemeClr>
                  </a:solidFill>
                </a:ln>
                <a:effectLst/>
              </c:spPr>
            </c:marker>
            <c:bubble3D val="0"/>
            <c:spPr>
              <a:ln w="28575" cap="rnd">
                <a:solidFill>
                  <a:schemeClr val="accent3">
                    <a:lumMod val="80000"/>
                  </a:schemeClr>
                </a:solidFill>
                <a:round/>
              </a:ln>
              <a:effectLst/>
            </c:spPr>
            <c:extLst>
              <c:ext xmlns:c16="http://schemas.microsoft.com/office/drawing/2014/chart" uri="{C3380CC4-5D6E-409C-BE32-E72D297353CC}">
                <c16:uniqueId val="{00000029-4008-4D71-8422-1AE9AB15DD9D}"/>
              </c:ext>
            </c:extLst>
          </c:dPt>
          <c:dPt>
            <c:idx val="21"/>
            <c:marker>
              <c:symbol val="circle"/>
              <c:size val="5"/>
              <c:spPr>
                <a:solidFill>
                  <a:schemeClr val="accent4">
                    <a:lumMod val="80000"/>
                  </a:schemeClr>
                </a:solidFill>
                <a:ln w="130175">
                  <a:solidFill>
                    <a:schemeClr val="accent4">
                      <a:lumMod val="80000"/>
                    </a:schemeClr>
                  </a:solidFill>
                </a:ln>
                <a:effectLst/>
              </c:spPr>
            </c:marker>
            <c:bubble3D val="0"/>
            <c:spPr>
              <a:ln w="28575" cap="rnd">
                <a:solidFill>
                  <a:schemeClr val="accent4">
                    <a:lumMod val="80000"/>
                  </a:schemeClr>
                </a:solidFill>
                <a:round/>
              </a:ln>
              <a:effectLst/>
            </c:spPr>
            <c:extLst>
              <c:ext xmlns:c16="http://schemas.microsoft.com/office/drawing/2014/chart" uri="{C3380CC4-5D6E-409C-BE32-E72D297353CC}">
                <c16:uniqueId val="{0000002B-4008-4D71-8422-1AE9AB15DD9D}"/>
              </c:ext>
            </c:extLst>
          </c:dPt>
          <c:dPt>
            <c:idx val="22"/>
            <c:marker>
              <c:symbol val="circle"/>
              <c:size val="5"/>
              <c:spPr>
                <a:solidFill>
                  <a:schemeClr val="accent5">
                    <a:lumMod val="80000"/>
                  </a:schemeClr>
                </a:solidFill>
                <a:ln w="130175">
                  <a:solidFill>
                    <a:schemeClr val="accent5">
                      <a:lumMod val="80000"/>
                    </a:schemeClr>
                  </a:solidFill>
                </a:ln>
                <a:effectLst/>
              </c:spPr>
            </c:marker>
            <c:bubble3D val="0"/>
            <c:spPr>
              <a:ln w="28575" cap="rnd">
                <a:solidFill>
                  <a:schemeClr val="accent5">
                    <a:lumMod val="80000"/>
                  </a:schemeClr>
                </a:solidFill>
                <a:round/>
              </a:ln>
              <a:effectLst/>
            </c:spPr>
            <c:extLst>
              <c:ext xmlns:c16="http://schemas.microsoft.com/office/drawing/2014/chart" uri="{C3380CC4-5D6E-409C-BE32-E72D297353CC}">
                <c16:uniqueId val="{0000002D-4008-4D71-8422-1AE9AB15DD9D}"/>
              </c:ext>
            </c:extLst>
          </c:dPt>
          <c:dPt>
            <c:idx val="23"/>
            <c:marker>
              <c:symbol val="circle"/>
              <c:size val="5"/>
              <c:spPr>
                <a:solidFill>
                  <a:schemeClr val="accent6">
                    <a:lumMod val="80000"/>
                  </a:schemeClr>
                </a:solidFill>
                <a:ln w="130175">
                  <a:solidFill>
                    <a:schemeClr val="accent6">
                      <a:lumMod val="80000"/>
                    </a:schemeClr>
                  </a:solidFill>
                </a:ln>
                <a:effectLst/>
              </c:spPr>
            </c:marker>
            <c:bubble3D val="0"/>
            <c:spPr>
              <a:ln w="28575" cap="rnd">
                <a:solidFill>
                  <a:schemeClr val="accent6">
                    <a:lumMod val="80000"/>
                  </a:schemeClr>
                </a:solidFill>
                <a:round/>
              </a:ln>
              <a:effectLst/>
            </c:spPr>
            <c:extLst>
              <c:ext xmlns:c16="http://schemas.microsoft.com/office/drawing/2014/chart" uri="{C3380CC4-5D6E-409C-BE32-E72D297353CC}">
                <c16:uniqueId val="{0000002F-4008-4D71-8422-1AE9AB15DD9D}"/>
              </c:ext>
            </c:extLst>
          </c:dPt>
          <c:dPt>
            <c:idx val="24"/>
            <c:marker>
              <c:symbol val="circle"/>
              <c:size val="5"/>
              <c:spPr>
                <a:solidFill>
                  <a:schemeClr val="accent1">
                    <a:lumMod val="60000"/>
                    <a:lumOff val="40000"/>
                  </a:schemeClr>
                </a:solidFill>
                <a:ln w="130175">
                  <a:solidFill>
                    <a:schemeClr val="accent1">
                      <a:lumMod val="60000"/>
                      <a:lumOff val="40000"/>
                    </a:schemeClr>
                  </a:solidFill>
                </a:ln>
                <a:effectLst/>
              </c:spPr>
            </c:marker>
            <c:bubble3D val="0"/>
            <c:spPr>
              <a:ln w="28575" cap="rnd">
                <a:solidFill>
                  <a:schemeClr val="accent1">
                    <a:lumMod val="60000"/>
                    <a:lumOff val="40000"/>
                  </a:schemeClr>
                </a:solidFill>
                <a:round/>
              </a:ln>
              <a:effectLst/>
            </c:spPr>
            <c:extLst>
              <c:ext xmlns:c16="http://schemas.microsoft.com/office/drawing/2014/chart" uri="{C3380CC4-5D6E-409C-BE32-E72D297353CC}">
                <c16:uniqueId val="{00000031-4008-4D71-8422-1AE9AB15DD9D}"/>
              </c:ext>
            </c:extLst>
          </c:dPt>
          <c:xVal>
            <c:strRef>
              <c:f>visualization!$D$30:$D$54</c:f>
              <c:strCache>
                <c:ptCount val="25"/>
                <c:pt idx="0">
                  <c:v>Abbas</c:v>
                </c:pt>
                <c:pt idx="1">
                  <c:v>Aqua</c:v>
                </c:pt>
                <c:pt idx="2">
                  <c:v>Basium</c:v>
                </c:pt>
                <c:pt idx="3">
                  <c:v>Bellus</c:v>
                </c:pt>
                <c:pt idx="4">
                  <c:v>Campana</c:v>
                </c:pt>
                <c:pt idx="5">
                  <c:v>Carmen</c:v>
                </c:pt>
                <c:pt idx="6">
                  <c:v>Decimus</c:v>
                </c:pt>
                <c:pt idx="7">
                  <c:v>Eligo</c:v>
                </c:pt>
                <c:pt idx="8">
                  <c:v>Fatum</c:v>
                </c:pt>
                <c:pt idx="9">
                  <c:v>Gratus</c:v>
                </c:pt>
                <c:pt idx="10">
                  <c:v>Habitus</c:v>
                </c:pt>
                <c:pt idx="11">
                  <c:v>Ignis</c:v>
                </c:pt>
                <c:pt idx="12">
                  <c:v>Juvenis</c:v>
                </c:pt>
                <c:pt idx="13">
                  <c:v>Lacuna</c:v>
                </c:pt>
                <c:pt idx="14">
                  <c:v>Magis</c:v>
                </c:pt>
                <c:pt idx="15">
                  <c:v>Maximus</c:v>
                </c:pt>
                <c:pt idx="16">
                  <c:v>Nimis</c:v>
                </c:pt>
                <c:pt idx="17">
                  <c:v>Omins</c:v>
                </c:pt>
                <c:pt idx="18">
                  <c:v>Paratus</c:v>
                </c:pt>
                <c:pt idx="19">
                  <c:v>Quanti</c:v>
                </c:pt>
                <c:pt idx="20">
                  <c:v>Recolo</c:v>
                </c:pt>
                <c:pt idx="21">
                  <c:v>Sato</c:v>
                </c:pt>
                <c:pt idx="22">
                  <c:v>Talus</c:v>
                </c:pt>
                <c:pt idx="23">
                  <c:v>Umbra</c:v>
                </c:pt>
                <c:pt idx="24">
                  <c:v>Vero</c:v>
                </c:pt>
              </c:strCache>
            </c:strRef>
          </c:xVal>
          <c:yVal>
            <c:numRef>
              <c:f>visualization!$E$30:$E$54</c:f>
              <c:numCache>
                <c:formatCode>General</c:formatCode>
                <c:ptCount val="25"/>
                <c:pt idx="0">
                  <c:v>28968988</c:v>
                </c:pt>
                <c:pt idx="1">
                  <c:v>27499586</c:v>
                </c:pt>
                <c:pt idx="2">
                  <c:v>24279627</c:v>
                </c:pt>
                <c:pt idx="3">
                  <c:v>14447471</c:v>
                </c:pt>
                <c:pt idx="4">
                  <c:v>10524392</c:v>
                </c:pt>
                <c:pt idx="5">
                  <c:v>18573079</c:v>
                </c:pt>
                <c:pt idx="6">
                  <c:v>10698552</c:v>
                </c:pt>
                <c:pt idx="7">
                  <c:v>18720332</c:v>
                </c:pt>
                <c:pt idx="8">
                  <c:v>27007963</c:v>
                </c:pt>
                <c:pt idx="9">
                  <c:v>17824804</c:v>
                </c:pt>
                <c:pt idx="10">
                  <c:v>6404216</c:v>
                </c:pt>
                <c:pt idx="11">
                  <c:v>27504751</c:v>
                </c:pt>
                <c:pt idx="12">
                  <c:v>14289027</c:v>
                </c:pt>
                <c:pt idx="13">
                  <c:v>10769290</c:v>
                </c:pt>
                <c:pt idx="14">
                  <c:v>23462792</c:v>
                </c:pt>
                <c:pt idx="15">
                  <c:v>25476441</c:v>
                </c:pt>
                <c:pt idx="16">
                  <c:v>20774621</c:v>
                </c:pt>
                <c:pt idx="17">
                  <c:v>3622868</c:v>
                </c:pt>
                <c:pt idx="18">
                  <c:v>16811029</c:v>
                </c:pt>
                <c:pt idx="19">
                  <c:v>13709056</c:v>
                </c:pt>
                <c:pt idx="20">
                  <c:v>15566448</c:v>
                </c:pt>
                <c:pt idx="21">
                  <c:v>18795913</c:v>
                </c:pt>
                <c:pt idx="22">
                  <c:v>34446792</c:v>
                </c:pt>
                <c:pt idx="23">
                  <c:v>14818243</c:v>
                </c:pt>
                <c:pt idx="24">
                  <c:v>16124618</c:v>
                </c:pt>
              </c:numCache>
            </c:numRef>
          </c:yVal>
          <c:smooth val="1"/>
          <c:extLst>
            <c:ext xmlns:c16="http://schemas.microsoft.com/office/drawing/2014/chart" uri="{C3380CC4-5D6E-409C-BE32-E72D297353CC}">
              <c16:uniqueId val="{00000032-4008-4D71-8422-1AE9AB15DD9D}"/>
            </c:ext>
          </c:extLst>
        </c:ser>
        <c:dLbls>
          <c:showLegendKey val="0"/>
          <c:showVal val="0"/>
          <c:showCatName val="0"/>
          <c:showSerName val="0"/>
          <c:showPercent val="0"/>
          <c:showBubbleSize val="0"/>
        </c:dLbls>
        <c:axId val="401143664"/>
        <c:axId val="401143992"/>
      </c:scatterChart>
      <c:valAx>
        <c:axId val="401143664"/>
        <c:scaling>
          <c:orientation val="minMax"/>
        </c:scaling>
        <c:delete val="1"/>
        <c:axPos val="b"/>
        <c:numFmt formatCode="General" sourceLinked="1"/>
        <c:majorTickMark val="none"/>
        <c:minorTickMark val="none"/>
        <c:tickLblPos val="nextTo"/>
        <c:crossAx val="401143992"/>
        <c:crosses val="autoZero"/>
        <c:crossBetween val="midCat"/>
      </c:valAx>
      <c:valAx>
        <c:axId val="401143992"/>
        <c:scaling>
          <c:orientation val="minMax"/>
        </c:scaling>
        <c:delete val="1"/>
        <c:axPos val="l"/>
        <c:numFmt formatCode="General" sourceLinked="1"/>
        <c:majorTickMark val="none"/>
        <c:minorTickMark val="none"/>
        <c:tickLblPos val="nextTo"/>
        <c:crossAx val="4011436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71061309638E-2"/>
          <c:y val="0.113427225247206"/>
          <c:w val="0.91423001949317739"/>
          <c:h val="0.70666666666666667"/>
        </c:manualLayout>
      </c:layout>
      <c:barChart>
        <c:barDir val="bar"/>
        <c:grouping val="clustered"/>
        <c:varyColors val="0"/>
        <c:ser>
          <c:idx val="0"/>
          <c:order val="0"/>
          <c:tx>
            <c:strRef>
              <c:f>visualization!$N$68</c:f>
              <c:strCache>
                <c:ptCount val="1"/>
                <c:pt idx="0">
                  <c:v>Count of Opportunity ID</c:v>
                </c:pt>
              </c:strCache>
            </c:strRef>
          </c:tx>
          <c:spPr>
            <a:solidFill>
              <a:schemeClr val="accent1"/>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1-E902-40CE-862C-EAC856428B8D}"/>
              </c:ext>
            </c:extLst>
          </c:dPt>
          <c:dPt>
            <c:idx val="1"/>
            <c:invertIfNegative val="0"/>
            <c:bubble3D val="0"/>
            <c:spPr>
              <a:solidFill>
                <a:schemeClr val="bg1"/>
              </a:solidFill>
              <a:ln>
                <a:solidFill>
                  <a:schemeClr val="bg1">
                    <a:alpha val="0"/>
                  </a:schemeClr>
                </a:solidFill>
              </a:ln>
              <a:effectLst/>
            </c:spPr>
            <c:extLst>
              <c:ext xmlns:c16="http://schemas.microsoft.com/office/drawing/2014/chart" uri="{C3380CC4-5D6E-409C-BE32-E72D297353CC}">
                <c16:uniqueId val="{00000003-E902-40CE-862C-EAC856428B8D}"/>
              </c:ext>
            </c:extLst>
          </c:dPt>
          <c:dPt>
            <c:idx val="2"/>
            <c:invertIfNegative val="0"/>
            <c:bubble3D val="0"/>
            <c:spPr>
              <a:solidFill>
                <a:schemeClr val="bg1"/>
              </a:solidFill>
              <a:ln>
                <a:noFill/>
              </a:ln>
              <a:effectLst/>
            </c:spPr>
            <c:extLst>
              <c:ext xmlns:c16="http://schemas.microsoft.com/office/drawing/2014/chart" uri="{C3380CC4-5D6E-409C-BE32-E72D297353CC}">
                <c16:uniqueId val="{00000005-E902-40CE-862C-EAC856428B8D}"/>
              </c:ext>
            </c:extLst>
          </c:dPt>
          <c:cat>
            <c:strRef>
              <c:f>visualization!$M$69:$M$71</c:f>
              <c:strCache>
                <c:ptCount val="3"/>
                <c:pt idx="0">
                  <c:v>Central</c:v>
                </c:pt>
                <c:pt idx="1">
                  <c:v>East</c:v>
                </c:pt>
                <c:pt idx="2">
                  <c:v>West</c:v>
                </c:pt>
              </c:strCache>
            </c:strRef>
          </c:cat>
          <c:val>
            <c:numRef>
              <c:f>visualization!$N$69:$N$71</c:f>
              <c:numCache>
                <c:formatCode>0%</c:formatCode>
                <c:ptCount val="3"/>
                <c:pt idx="0">
                  <c:v>0.36625514403292181</c:v>
                </c:pt>
                <c:pt idx="1">
                  <c:v>0.43621399176954734</c:v>
                </c:pt>
                <c:pt idx="2">
                  <c:v>0.19753086419753085</c:v>
                </c:pt>
              </c:numCache>
            </c:numRef>
          </c:val>
          <c:extLst>
            <c:ext xmlns:c16="http://schemas.microsoft.com/office/drawing/2014/chart" uri="{C3380CC4-5D6E-409C-BE32-E72D297353CC}">
              <c16:uniqueId val="{00000006-E902-40CE-862C-EAC856428B8D}"/>
            </c:ext>
          </c:extLst>
        </c:ser>
        <c:dLbls>
          <c:showLegendKey val="0"/>
          <c:showVal val="0"/>
          <c:showCatName val="0"/>
          <c:showSerName val="0"/>
          <c:showPercent val="0"/>
          <c:showBubbleSize val="0"/>
        </c:dLbls>
        <c:gapWidth val="3"/>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visualization!$M$254</c:f>
              <c:strCache>
                <c:ptCount val="1"/>
                <c:pt idx="0">
                  <c:v>Medium</c:v>
                </c:pt>
              </c:strCache>
            </c:strRef>
          </c:tx>
          <c:spPr>
            <a:solidFill>
              <a:schemeClr val="accent1">
                <a:lumMod val="75000"/>
              </a:schemeClr>
            </a:solidFill>
          </c:spPr>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EB35-433E-BCD0-76E9FCD3BCC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EB35-433E-BCD0-76E9FCD3BCCA}"/>
              </c:ext>
            </c:extLst>
          </c:dPt>
          <c:cat>
            <c:strRef>
              <c:f>visualization!$N$253:$O$253</c:f>
              <c:strCache>
                <c:ptCount val="2"/>
                <c:pt idx="0">
                  <c:v>Count of Opportunity ID</c:v>
                </c:pt>
                <c:pt idx="1">
                  <c:v>bl</c:v>
                </c:pt>
              </c:strCache>
            </c:strRef>
          </c:cat>
          <c:val>
            <c:numRef>
              <c:f>visualization!$N$254:$O$254</c:f>
              <c:numCache>
                <c:formatCode>0%</c:formatCode>
                <c:ptCount val="2"/>
                <c:pt idx="0" formatCode="0.0%">
                  <c:v>0.33127572016460904</c:v>
                </c:pt>
                <c:pt idx="1">
                  <c:v>0.66872427983539096</c:v>
                </c:pt>
              </c:numCache>
            </c:numRef>
          </c:val>
          <c:extLst>
            <c:ext xmlns:c16="http://schemas.microsoft.com/office/drawing/2014/chart" uri="{C3380CC4-5D6E-409C-BE32-E72D297353CC}">
              <c16:uniqueId val="{00000004-EB35-433E-BCD0-76E9FCD3BCCA}"/>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8030AB68-7D9A-40ED-A9EC-5A9FE0030F8A}">
          <cx:tx>
            <cx:txData>
              <cx:f>_xlchart.v1.1</cx:f>
              <cx:v>Opportunities</cx:v>
            </cx:txData>
          </cx:tx>
          <cx:dataPt idx="0">
            <cx:spPr>
              <a:solidFill>
                <a:srgbClr val="C00000"/>
              </a:solidFill>
            </cx:spPr>
          </cx:dataPt>
          <cx:dataPt idx="1">
            <cx:spPr>
              <a:solidFill>
                <a:srgbClr val="002060"/>
              </a:solidFill>
            </cx:spPr>
          </cx:dataPt>
          <cx:dataPt idx="2">
            <cx:spPr>
              <a:solidFill>
                <a:srgbClr val="6690BC"/>
              </a:solidFill>
            </cx:spPr>
          </cx:dataPt>
          <cx:dataPt idx="3">
            <cx:spPr>
              <a:solidFill>
                <a:srgbClr val="5B9BD5">
                  <a:lumMod val="75000"/>
                </a:srgbClr>
              </a:solidFill>
            </cx:spPr>
          </cx:dataPt>
          <cx:dataPt idx="4">
            <cx:spPr>
              <a:solidFill>
                <a:srgbClr val="FF0000"/>
              </a:solidFill>
            </cx:spPr>
          </cx:dataPt>
          <cx:dataLabels>
            <cx:visibility seriesName="0" categoryName="1" value="0"/>
          </cx:dataLabels>
          <cx:dataId val="0"/>
          <cx:layoutPr/>
        </cx:series>
      </cx:plotAreaRegion>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2.xml"/><Relationship Id="rId18" Type="http://schemas.openxmlformats.org/officeDocument/2006/relationships/image" Target="../media/image3.png"/><Relationship Id="rId3" Type="http://schemas.openxmlformats.org/officeDocument/2006/relationships/chart" Target="../charts/chart13.xml"/><Relationship Id="rId7" Type="http://schemas.openxmlformats.org/officeDocument/2006/relationships/chart" Target="../charts/chart17.xml"/><Relationship Id="rId12" Type="http://schemas.microsoft.com/office/2014/relationships/chartEx" Target="../charts/chartEx1.xml"/><Relationship Id="rId17" Type="http://schemas.openxmlformats.org/officeDocument/2006/relationships/image" Target="../media/image2.png"/><Relationship Id="rId2" Type="http://schemas.openxmlformats.org/officeDocument/2006/relationships/chart" Target="../charts/chart12.xml"/><Relationship Id="rId16" Type="http://schemas.openxmlformats.org/officeDocument/2006/relationships/image" Target="../media/image1.png"/><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openxmlformats.org/officeDocument/2006/relationships/chart" Target="../charts/chart24.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5</xdr:col>
      <xdr:colOff>49306</xdr:colOff>
      <xdr:row>58</xdr:row>
      <xdr:rowOff>120799</xdr:rowOff>
    </xdr:from>
    <xdr:to>
      <xdr:col>10</xdr:col>
      <xdr:colOff>157554</xdr:colOff>
      <xdr:row>76</xdr:row>
      <xdr:rowOff>105559</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417531</xdr:colOff>
      <xdr:row>76</xdr:row>
      <xdr:rowOff>58048</xdr:rowOff>
    </xdr:from>
    <xdr:to>
      <xdr:col>13</xdr:col>
      <xdr:colOff>271631</xdr:colOff>
      <xdr:row>91</xdr:row>
      <xdr:rowOff>58047</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1684020</xdr:colOff>
      <xdr:row>91</xdr:row>
      <xdr:rowOff>22860</xdr:rowOff>
    </xdr:from>
    <xdr:to>
      <xdr:col>13</xdr:col>
      <xdr:colOff>358140</xdr:colOff>
      <xdr:row>109</xdr:row>
      <xdr:rowOff>137160</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327660</xdr:colOff>
      <xdr:row>194</xdr:row>
      <xdr:rowOff>118109</xdr:rowOff>
    </xdr:from>
    <xdr:to>
      <xdr:col>6</xdr:col>
      <xdr:colOff>540327</xdr:colOff>
      <xdr:row>214</xdr:row>
      <xdr:rowOff>27708</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304800</xdr:colOff>
      <xdr:row>249</xdr:row>
      <xdr:rowOff>57150</xdr:rowOff>
    </xdr:from>
    <xdr:to>
      <xdr:col>8</xdr:col>
      <xdr:colOff>83820</xdr:colOff>
      <xdr:row>264</xdr:row>
      <xdr:rowOff>57150</xdr:rowOff>
    </xdr:to>
    <xdr:graphicFrame macro="">
      <xdr:nvGraphicFramePr>
        <xdr:cNvPr id="15" name="Chart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159030</xdr:colOff>
      <xdr:row>280</xdr:row>
      <xdr:rowOff>35972</xdr:rowOff>
    </xdr:from>
    <xdr:to>
      <xdr:col>7</xdr:col>
      <xdr:colOff>387630</xdr:colOff>
      <xdr:row>295</xdr:row>
      <xdr:rowOff>35972</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556260</xdr:colOff>
      <xdr:row>305</xdr:row>
      <xdr:rowOff>179070</xdr:rowOff>
    </xdr:from>
    <xdr:to>
      <xdr:col>7</xdr:col>
      <xdr:colOff>449580</xdr:colOff>
      <xdr:row>320</xdr:row>
      <xdr:rowOff>179070</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2942012</xdr:colOff>
      <xdr:row>284</xdr:row>
      <xdr:rowOff>0</xdr:rowOff>
    </xdr:from>
    <xdr:to>
      <xdr:col>14</xdr:col>
      <xdr:colOff>151015</xdr:colOff>
      <xdr:row>299</xdr:row>
      <xdr:rowOff>161059</xdr:rowOff>
    </xdr:to>
    <xdr:graphicFrame macro="">
      <xdr:nvGraphicFramePr>
        <xdr:cNvPr id="17" name="Chart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0</xdr:colOff>
      <xdr:row>226</xdr:row>
      <xdr:rowOff>0</xdr:rowOff>
    </xdr:from>
    <xdr:to>
      <xdr:col>20</xdr:col>
      <xdr:colOff>182656</xdr:colOff>
      <xdr:row>245</xdr:row>
      <xdr:rowOff>78120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488578</xdr:colOff>
      <xdr:row>59</xdr:row>
      <xdr:rowOff>161365</xdr:rowOff>
    </xdr:from>
    <xdr:to>
      <xdr:col>23</xdr:col>
      <xdr:colOff>237566</xdr:colOff>
      <xdr:row>75</xdr:row>
      <xdr:rowOff>26894</xdr:rowOff>
    </xdr:to>
    <xdr:graphicFrame macro="">
      <xdr:nvGraphicFramePr>
        <xdr:cNvPr id="22" name="Chart 21">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466165</xdr:colOff>
      <xdr:row>19</xdr:row>
      <xdr:rowOff>116541</xdr:rowOff>
    </xdr:from>
    <xdr:to>
      <xdr:col>21</xdr:col>
      <xdr:colOff>597877</xdr:colOff>
      <xdr:row>28</xdr:row>
      <xdr:rowOff>46893</xdr:rowOff>
    </xdr:to>
    <xdr:sp macro="" textlink="">
      <xdr:nvSpPr>
        <xdr:cNvPr id="2" name="Rounded Rectangle 89">
          <a:extLst>
            <a:ext uri="{FF2B5EF4-FFF2-40B4-BE49-F238E27FC236}">
              <a16:creationId xmlns:a16="http://schemas.microsoft.com/office/drawing/2014/main" id="{00000000-0008-0000-0200-000002000000}"/>
            </a:ext>
          </a:extLst>
        </xdr:cNvPr>
        <xdr:cNvSpPr/>
      </xdr:nvSpPr>
      <xdr:spPr>
        <a:xfrm>
          <a:off x="10219765" y="3568987"/>
          <a:ext cx="3179712" cy="1565721"/>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252728</xdr:colOff>
      <xdr:row>2</xdr:row>
      <xdr:rowOff>180521</xdr:rowOff>
    </xdr:from>
    <xdr:to>
      <xdr:col>16</xdr:col>
      <xdr:colOff>444500</xdr:colOff>
      <xdr:row>27</xdr:row>
      <xdr:rowOff>52613</xdr:rowOff>
    </xdr:to>
    <xdr:sp macro="" textlink="">
      <xdr:nvSpPr>
        <xdr:cNvPr id="3" name="Rounded Rectangle 177">
          <a:extLst>
            <a:ext uri="{FF2B5EF4-FFF2-40B4-BE49-F238E27FC236}">
              <a16:creationId xmlns:a16="http://schemas.microsoft.com/office/drawing/2014/main" id="{00000000-0008-0000-0200-000003000000}"/>
            </a:ext>
          </a:extLst>
        </xdr:cNvPr>
        <xdr:cNvSpPr/>
      </xdr:nvSpPr>
      <xdr:spPr>
        <a:xfrm>
          <a:off x="7567928" y="546281"/>
          <a:ext cx="2630172" cy="4444092"/>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369570</xdr:colOff>
      <xdr:row>3</xdr:row>
      <xdr:rowOff>66676</xdr:rowOff>
    </xdr:from>
    <xdr:to>
      <xdr:col>6</xdr:col>
      <xdr:colOff>186690</xdr:colOff>
      <xdr:row>19</xdr:row>
      <xdr:rowOff>104776</xdr:rowOff>
    </xdr:to>
    <xdr:sp macro="" textlink="">
      <xdr:nvSpPr>
        <xdr:cNvPr id="4" name="Rounded Rectangle 27">
          <a:extLst>
            <a:ext uri="{FF2B5EF4-FFF2-40B4-BE49-F238E27FC236}">
              <a16:creationId xmlns:a16="http://schemas.microsoft.com/office/drawing/2014/main" id="{00000000-0008-0000-0200-000004000000}"/>
            </a:ext>
          </a:extLst>
        </xdr:cNvPr>
        <xdr:cNvSpPr/>
      </xdr:nvSpPr>
      <xdr:spPr>
        <a:xfrm>
          <a:off x="2198370" y="615316"/>
          <a:ext cx="1645920" cy="2964180"/>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236220</xdr:colOff>
      <xdr:row>5</xdr:row>
      <xdr:rowOff>123825</xdr:rowOff>
    </xdr:from>
    <xdr:to>
      <xdr:col>6</xdr:col>
      <xdr:colOff>281940</xdr:colOff>
      <xdr:row>13</xdr:row>
      <xdr:rowOff>38100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398145</xdr:colOff>
      <xdr:row>3</xdr:row>
      <xdr:rowOff>47625</xdr:rowOff>
    </xdr:from>
    <xdr:to>
      <xdr:col>6</xdr:col>
      <xdr:colOff>129540</xdr:colOff>
      <xdr:row>4</xdr:row>
      <xdr:rowOff>161925</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226945" y="596265"/>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Regional Revnue</a:t>
          </a:r>
        </a:p>
      </xdr:txBody>
    </xdr:sp>
    <xdr:clientData/>
  </xdr:twoCellAnchor>
  <xdr:twoCellAnchor>
    <xdr:from>
      <xdr:col>3</xdr:col>
      <xdr:colOff>407670</xdr:colOff>
      <xdr:row>4</xdr:row>
      <xdr:rowOff>9525</xdr:rowOff>
    </xdr:from>
    <xdr:to>
      <xdr:col>6</xdr:col>
      <xdr:colOff>139065</xdr:colOff>
      <xdr:row>5</xdr:row>
      <xdr:rowOff>123825</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236470" y="741045"/>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1000" b="0">
            <a:solidFill>
              <a:schemeClr val="tx1">
                <a:lumMod val="75000"/>
                <a:lumOff val="25000"/>
              </a:schemeClr>
            </a:solidFill>
            <a:latin typeface="Arial Special G1" panose="050B0604020202020204" pitchFamily="34" charset="2"/>
            <a:cs typeface="Consolas" panose="020B0609020204030204" pitchFamily="49" charset="0"/>
          </a:endParaRPr>
        </a:p>
      </xdr:txBody>
    </xdr:sp>
    <xdr:clientData/>
  </xdr:twoCellAnchor>
  <xdr:twoCellAnchor>
    <xdr:from>
      <xdr:col>3</xdr:col>
      <xdr:colOff>407670</xdr:colOff>
      <xdr:row>13</xdr:row>
      <xdr:rowOff>19050</xdr:rowOff>
    </xdr:from>
    <xdr:to>
      <xdr:col>4</xdr:col>
      <xdr:colOff>451485</xdr:colOff>
      <xdr:row>14</xdr:row>
      <xdr:rowOff>133350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2236470" y="2396490"/>
          <a:ext cx="65341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bg1">
                  <a:lumMod val="65000"/>
                </a:schemeClr>
              </a:solidFill>
              <a:latin typeface="Arial Special G1" panose="050B0604020202020204" pitchFamily="34" charset="2"/>
              <a:cs typeface="Consolas" panose="020B0609020204030204" pitchFamily="49" charset="0"/>
            </a:rPr>
            <a:t>Legend</a:t>
          </a:r>
        </a:p>
      </xdr:txBody>
    </xdr:sp>
    <xdr:clientData/>
  </xdr:twoCellAnchor>
  <xdr:twoCellAnchor>
    <xdr:from>
      <xdr:col>3</xdr:col>
      <xdr:colOff>502920</xdr:colOff>
      <xdr:row>14</xdr:row>
      <xdr:rowOff>76200</xdr:rowOff>
    </xdr:from>
    <xdr:to>
      <xdr:col>4</xdr:col>
      <xdr:colOff>546735</xdr:colOff>
      <xdr:row>16</xdr:row>
      <xdr:rowOff>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331720" y="2636520"/>
          <a:ext cx="6534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t>Central</a:t>
          </a:r>
        </a:p>
      </xdr:txBody>
    </xdr:sp>
    <xdr:clientData/>
  </xdr:twoCellAnchor>
  <xdr:twoCellAnchor>
    <xdr:from>
      <xdr:col>3</xdr:col>
      <xdr:colOff>502920</xdr:colOff>
      <xdr:row>16</xdr:row>
      <xdr:rowOff>0</xdr:rowOff>
    </xdr:from>
    <xdr:to>
      <xdr:col>4</xdr:col>
      <xdr:colOff>546735</xdr:colOff>
      <xdr:row>17</xdr:row>
      <xdr:rowOff>114300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2331720" y="2926080"/>
          <a:ext cx="65341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t>East</a:t>
          </a:r>
        </a:p>
      </xdr:txBody>
    </xdr:sp>
    <xdr:clientData/>
  </xdr:twoCellAnchor>
  <xdr:twoCellAnchor>
    <xdr:from>
      <xdr:col>3</xdr:col>
      <xdr:colOff>569595</xdr:colOff>
      <xdr:row>17</xdr:row>
      <xdr:rowOff>114300</xdr:rowOff>
    </xdr:from>
    <xdr:to>
      <xdr:col>4</xdr:col>
      <xdr:colOff>546735</xdr:colOff>
      <xdr:row>19</xdr:row>
      <xdr:rowOff>38100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2398395" y="3223260"/>
          <a:ext cx="5867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t>West</a:t>
          </a:r>
        </a:p>
      </xdr:txBody>
    </xdr:sp>
    <xdr:clientData/>
  </xdr:twoCellAnchor>
  <xdr:twoCellAnchor>
    <xdr:from>
      <xdr:col>3</xdr:col>
      <xdr:colOff>512445</xdr:colOff>
      <xdr:row>15</xdr:row>
      <xdr:rowOff>9525</xdr:rowOff>
    </xdr:from>
    <xdr:to>
      <xdr:col>3</xdr:col>
      <xdr:colOff>607695</xdr:colOff>
      <xdr:row>15</xdr:row>
      <xdr:rowOff>114300</xdr:rowOff>
    </xdr:to>
    <xdr:sp macro="" textlink="">
      <xdr:nvSpPr>
        <xdr:cNvPr id="12" name="Oval 11">
          <a:extLst>
            <a:ext uri="{FF2B5EF4-FFF2-40B4-BE49-F238E27FC236}">
              <a16:creationId xmlns:a16="http://schemas.microsoft.com/office/drawing/2014/main" id="{00000000-0008-0000-0200-00000C000000}"/>
            </a:ext>
          </a:extLst>
        </xdr:cNvPr>
        <xdr:cNvSpPr/>
      </xdr:nvSpPr>
      <xdr:spPr>
        <a:xfrm>
          <a:off x="2341245" y="2752725"/>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502920</xdr:colOff>
      <xdr:row>16</xdr:row>
      <xdr:rowOff>114300</xdr:rowOff>
    </xdr:from>
    <xdr:to>
      <xdr:col>3</xdr:col>
      <xdr:colOff>598170</xdr:colOff>
      <xdr:row>17</xdr:row>
      <xdr:rowOff>28575</xdr:rowOff>
    </xdr:to>
    <xdr:sp macro="" textlink="">
      <xdr:nvSpPr>
        <xdr:cNvPr id="13" name="Oval 12">
          <a:extLst>
            <a:ext uri="{FF2B5EF4-FFF2-40B4-BE49-F238E27FC236}">
              <a16:creationId xmlns:a16="http://schemas.microsoft.com/office/drawing/2014/main" id="{00000000-0008-0000-0200-00000D000000}"/>
            </a:ext>
          </a:extLst>
        </xdr:cNvPr>
        <xdr:cNvSpPr/>
      </xdr:nvSpPr>
      <xdr:spPr>
        <a:xfrm>
          <a:off x="2331720" y="3040380"/>
          <a:ext cx="95250" cy="9715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493395</xdr:colOff>
      <xdr:row>18</xdr:row>
      <xdr:rowOff>19050</xdr:rowOff>
    </xdr:from>
    <xdr:to>
      <xdr:col>3</xdr:col>
      <xdr:colOff>588645</xdr:colOff>
      <xdr:row>18</xdr:row>
      <xdr:rowOff>123825</xdr:rowOff>
    </xdr:to>
    <xdr:sp macro="" textlink="">
      <xdr:nvSpPr>
        <xdr:cNvPr id="14" name="Oval 13">
          <a:extLst>
            <a:ext uri="{FF2B5EF4-FFF2-40B4-BE49-F238E27FC236}">
              <a16:creationId xmlns:a16="http://schemas.microsoft.com/office/drawing/2014/main" id="{00000000-0008-0000-0200-00000E000000}"/>
            </a:ext>
          </a:extLst>
        </xdr:cNvPr>
        <xdr:cNvSpPr/>
      </xdr:nvSpPr>
      <xdr:spPr>
        <a:xfrm>
          <a:off x="2322195" y="3310890"/>
          <a:ext cx="95250" cy="1047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337185</xdr:colOff>
      <xdr:row>14</xdr:row>
      <xdr:rowOff>76200</xdr:rowOff>
    </xdr:from>
    <xdr:to>
      <xdr:col>6</xdr:col>
      <xdr:colOff>158115</xdr:colOff>
      <xdr:row>16</xdr:row>
      <xdr:rowOff>0</xdr:rowOff>
    </xdr:to>
    <xdr:sp macro="" textlink="visualization!C22">
      <xdr:nvSpPr>
        <xdr:cNvPr id="15" name="TextBox 14">
          <a:extLst>
            <a:ext uri="{FF2B5EF4-FFF2-40B4-BE49-F238E27FC236}">
              <a16:creationId xmlns:a16="http://schemas.microsoft.com/office/drawing/2014/main" id="{00000000-0008-0000-0200-00000F000000}"/>
            </a:ext>
          </a:extLst>
        </xdr:cNvPr>
        <xdr:cNvSpPr txBox="1"/>
      </xdr:nvSpPr>
      <xdr:spPr>
        <a:xfrm>
          <a:off x="2775585" y="263652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400004-9B1F-48B5-BFAE-9579EB1E5816}"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162645112</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337185</xdr:colOff>
      <xdr:row>16</xdr:row>
      <xdr:rowOff>0</xdr:rowOff>
    </xdr:from>
    <xdr:to>
      <xdr:col>6</xdr:col>
      <xdr:colOff>158115</xdr:colOff>
      <xdr:row>17</xdr:row>
      <xdr:rowOff>114300</xdr:rowOff>
    </xdr:to>
    <xdr:sp macro="" textlink="visualization!C23">
      <xdr:nvSpPr>
        <xdr:cNvPr id="16" name="TextBox 15">
          <a:extLst>
            <a:ext uri="{FF2B5EF4-FFF2-40B4-BE49-F238E27FC236}">
              <a16:creationId xmlns:a16="http://schemas.microsoft.com/office/drawing/2014/main" id="{00000000-0008-0000-0200-000010000000}"/>
            </a:ext>
          </a:extLst>
        </xdr:cNvPr>
        <xdr:cNvSpPr txBox="1"/>
      </xdr:nvSpPr>
      <xdr:spPr>
        <a:xfrm>
          <a:off x="2775585" y="2926080"/>
          <a:ext cx="104013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EF42A2-4244-43C8-9CA5-C1A2FE22D185}"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193154146</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337185</xdr:colOff>
      <xdr:row>17</xdr:row>
      <xdr:rowOff>114300</xdr:rowOff>
    </xdr:from>
    <xdr:to>
      <xdr:col>6</xdr:col>
      <xdr:colOff>158115</xdr:colOff>
      <xdr:row>19</xdr:row>
      <xdr:rowOff>38100</xdr:rowOff>
    </xdr:to>
    <xdr:sp macro="" textlink="visualization!C24">
      <xdr:nvSpPr>
        <xdr:cNvPr id="17" name="TextBox 16">
          <a:extLst>
            <a:ext uri="{FF2B5EF4-FFF2-40B4-BE49-F238E27FC236}">
              <a16:creationId xmlns:a16="http://schemas.microsoft.com/office/drawing/2014/main" id="{00000000-0008-0000-0200-000011000000}"/>
            </a:ext>
          </a:extLst>
        </xdr:cNvPr>
        <xdr:cNvSpPr txBox="1"/>
      </xdr:nvSpPr>
      <xdr:spPr>
        <a:xfrm>
          <a:off x="2775585" y="322326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BC11AE-73F7-4DC6-ACB3-22CD85A2F76A}"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105321641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388620</xdr:colOff>
      <xdr:row>20</xdr:row>
      <xdr:rowOff>33622</xdr:rowOff>
    </xdr:from>
    <xdr:to>
      <xdr:col>6</xdr:col>
      <xdr:colOff>196215</xdr:colOff>
      <xdr:row>27</xdr:row>
      <xdr:rowOff>109252</xdr:rowOff>
    </xdr:to>
    <xdr:grpSp>
      <xdr:nvGrpSpPr>
        <xdr:cNvPr id="18" name="Group 17">
          <a:extLst>
            <a:ext uri="{FF2B5EF4-FFF2-40B4-BE49-F238E27FC236}">
              <a16:creationId xmlns:a16="http://schemas.microsoft.com/office/drawing/2014/main" id="{00000000-0008-0000-0200-000012000000}"/>
            </a:ext>
          </a:extLst>
        </xdr:cNvPr>
        <xdr:cNvGrpSpPr/>
      </xdr:nvGrpSpPr>
      <xdr:grpSpPr>
        <a:xfrm>
          <a:off x="2217420" y="3691222"/>
          <a:ext cx="1636395" cy="1355790"/>
          <a:chOff x="2171700" y="3914774"/>
          <a:chExt cx="1600200" cy="1285876"/>
        </a:xfrm>
      </xdr:grpSpPr>
      <xdr:sp macro="" textlink="">
        <xdr:nvSpPr>
          <xdr:cNvPr id="19" name="Rounded Rectangle 44">
            <a:extLst>
              <a:ext uri="{FF2B5EF4-FFF2-40B4-BE49-F238E27FC236}">
                <a16:creationId xmlns:a16="http://schemas.microsoft.com/office/drawing/2014/main" id="{00000000-0008-0000-0200-000013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ounded Rectangle 45">
            <a:extLst>
              <a:ext uri="{FF2B5EF4-FFF2-40B4-BE49-F238E27FC236}">
                <a16:creationId xmlns:a16="http://schemas.microsoft.com/office/drawing/2014/main" id="{00000000-0008-0000-0200-000014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369570</xdr:colOff>
      <xdr:row>20</xdr:row>
      <xdr:rowOff>1975</xdr:rowOff>
    </xdr:from>
    <xdr:to>
      <xdr:col>12</xdr:col>
      <xdr:colOff>205740</xdr:colOff>
      <xdr:row>27</xdr:row>
      <xdr:rowOff>45650</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5855970" y="3659575"/>
          <a:ext cx="1664970" cy="1323835"/>
          <a:chOff x="2152650" y="5335975"/>
          <a:chExt cx="1619250" cy="1377175"/>
        </a:xfrm>
      </xdr:grpSpPr>
      <xdr:sp macro="" textlink="">
        <xdr:nvSpPr>
          <xdr:cNvPr id="22" name="Rounded Rectangle 48">
            <a:extLst>
              <a:ext uri="{FF2B5EF4-FFF2-40B4-BE49-F238E27FC236}">
                <a16:creationId xmlns:a16="http://schemas.microsoft.com/office/drawing/2014/main" id="{00000000-0008-0000-0200-000016000000}"/>
              </a:ext>
            </a:extLst>
          </xdr:cNvPr>
          <xdr:cNvSpPr/>
        </xdr:nvSpPr>
        <xdr:spPr>
          <a:xfrm>
            <a:off x="2152650" y="5419725"/>
            <a:ext cx="1600200" cy="1200150"/>
          </a:xfrm>
          <a:prstGeom prst="roundRect">
            <a:avLst>
              <a:gd name="adj" fmla="val 4763"/>
            </a:avLst>
          </a:prstGeom>
          <a:solidFill>
            <a:srgbClr val="002F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ounded Rectangle 49">
            <a:extLst>
              <a:ext uri="{FF2B5EF4-FFF2-40B4-BE49-F238E27FC236}">
                <a16:creationId xmlns:a16="http://schemas.microsoft.com/office/drawing/2014/main" id="{00000000-0008-0000-0200-000017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369570</xdr:colOff>
      <xdr:row>21</xdr:row>
      <xdr:rowOff>152400</xdr:rowOff>
    </xdr:from>
    <xdr:to>
      <xdr:col>6</xdr:col>
      <xdr:colOff>100965</xdr:colOff>
      <xdr:row>23</xdr:row>
      <xdr:rowOff>76200</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2198370" y="3992880"/>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Region base Opportunity</a:t>
          </a:r>
        </a:p>
      </xdr:txBody>
    </xdr:sp>
    <xdr:clientData/>
  </xdr:twoCellAnchor>
  <xdr:twoCellAnchor>
    <xdr:from>
      <xdr:col>3</xdr:col>
      <xdr:colOff>426720</xdr:colOff>
      <xdr:row>20</xdr:row>
      <xdr:rowOff>104775</xdr:rowOff>
    </xdr:from>
    <xdr:to>
      <xdr:col>6</xdr:col>
      <xdr:colOff>158115</xdr:colOff>
      <xdr:row>22</xdr:row>
      <xdr:rowOff>28575</xdr:rowOff>
    </xdr:to>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2255520" y="3762375"/>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West</a:t>
          </a:r>
        </a:p>
      </xdr:txBody>
    </xdr:sp>
    <xdr:clientData/>
  </xdr:twoCellAnchor>
  <xdr:twoCellAnchor>
    <xdr:from>
      <xdr:col>9</xdr:col>
      <xdr:colOff>417195</xdr:colOff>
      <xdr:row>21</xdr:row>
      <xdr:rowOff>57150</xdr:rowOff>
    </xdr:from>
    <xdr:to>
      <xdr:col>12</xdr:col>
      <xdr:colOff>220980</xdr:colOff>
      <xdr:row>22</xdr:row>
      <xdr:rowOff>171450</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5903595" y="3897630"/>
          <a:ext cx="163258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Region base Opportunity</a:t>
          </a:r>
          <a:endParaRPr lang="en-IN" sz="1000">
            <a:effectLst/>
          </a:endParaRPr>
        </a:p>
      </xdr:txBody>
    </xdr:sp>
    <xdr:clientData/>
  </xdr:twoCellAnchor>
  <xdr:twoCellAnchor>
    <xdr:from>
      <xdr:col>9</xdr:col>
      <xdr:colOff>436245</xdr:colOff>
      <xdr:row>20</xdr:row>
      <xdr:rowOff>28575</xdr:rowOff>
    </xdr:from>
    <xdr:to>
      <xdr:col>12</xdr:col>
      <xdr:colOff>167640</xdr:colOff>
      <xdr:row>21</xdr:row>
      <xdr:rowOff>142875</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5922645" y="3686175"/>
          <a:ext cx="156019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East</a:t>
          </a:r>
        </a:p>
      </xdr:txBody>
    </xdr:sp>
    <xdr:clientData/>
  </xdr:twoCellAnchor>
  <xdr:twoCellAnchor>
    <xdr:from>
      <xdr:col>3</xdr:col>
      <xdr:colOff>445770</xdr:colOff>
      <xdr:row>23</xdr:row>
      <xdr:rowOff>28576</xdr:rowOff>
    </xdr:from>
    <xdr:to>
      <xdr:col>6</xdr:col>
      <xdr:colOff>120015</xdr:colOff>
      <xdr:row>24</xdr:row>
      <xdr:rowOff>123825</xdr:rowOff>
    </xdr:to>
    <xdr:sp macro="" textlink="">
      <xdr:nvSpPr>
        <xdr:cNvPr id="28" name="Rectangle 27">
          <a:extLst>
            <a:ext uri="{FF2B5EF4-FFF2-40B4-BE49-F238E27FC236}">
              <a16:creationId xmlns:a16="http://schemas.microsoft.com/office/drawing/2014/main" id="{00000000-0008-0000-0200-00001C000000}"/>
            </a:ext>
          </a:extLst>
        </xdr:cNvPr>
        <xdr:cNvSpPr/>
      </xdr:nvSpPr>
      <xdr:spPr>
        <a:xfrm>
          <a:off x="2274570" y="4234816"/>
          <a:ext cx="1503045" cy="27812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22</xdr:row>
      <xdr:rowOff>163831</xdr:rowOff>
    </xdr:from>
    <xdr:to>
      <xdr:col>6</xdr:col>
      <xdr:colOff>175260</xdr:colOff>
      <xdr:row>27</xdr:row>
      <xdr:rowOff>22860</xdr:rowOff>
    </xdr:to>
    <xdr:graphicFrame macro="">
      <xdr:nvGraphicFramePr>
        <xdr:cNvPr id="29" name="Chart 11">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426721</xdr:colOff>
      <xdr:row>24</xdr:row>
      <xdr:rowOff>133350</xdr:rowOff>
    </xdr:from>
    <xdr:to>
      <xdr:col>6</xdr:col>
      <xdr:colOff>177165</xdr:colOff>
      <xdr:row>26</xdr:row>
      <xdr:rowOff>171450</xdr:rowOff>
    </xdr:to>
    <xdr:sp macro="" textlink="">
      <xdr:nvSpPr>
        <xdr:cNvPr id="30" name="Rectangle 29">
          <a:extLst>
            <a:ext uri="{FF2B5EF4-FFF2-40B4-BE49-F238E27FC236}">
              <a16:creationId xmlns:a16="http://schemas.microsoft.com/office/drawing/2014/main" id="{00000000-0008-0000-0200-00001E000000}"/>
            </a:ext>
          </a:extLst>
        </xdr:cNvPr>
        <xdr:cNvSpPr/>
      </xdr:nvSpPr>
      <xdr:spPr>
        <a:xfrm>
          <a:off x="2255521" y="4522470"/>
          <a:ext cx="1579244" cy="4038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464821</xdr:colOff>
      <xdr:row>24</xdr:row>
      <xdr:rowOff>114300</xdr:rowOff>
    </xdr:from>
    <xdr:to>
      <xdr:col>12</xdr:col>
      <xdr:colOff>129540</xdr:colOff>
      <xdr:row>26</xdr:row>
      <xdr:rowOff>19050</xdr:rowOff>
    </xdr:to>
    <xdr:sp macro="" textlink="">
      <xdr:nvSpPr>
        <xdr:cNvPr id="31" name="Rectangle 30">
          <a:extLst>
            <a:ext uri="{FF2B5EF4-FFF2-40B4-BE49-F238E27FC236}">
              <a16:creationId xmlns:a16="http://schemas.microsoft.com/office/drawing/2014/main" id="{00000000-0008-0000-0200-00001F000000}"/>
            </a:ext>
          </a:extLst>
        </xdr:cNvPr>
        <xdr:cNvSpPr/>
      </xdr:nvSpPr>
      <xdr:spPr>
        <a:xfrm>
          <a:off x="5951221" y="4503420"/>
          <a:ext cx="1493519" cy="27051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352425</xdr:colOff>
      <xdr:row>22</xdr:row>
      <xdr:rowOff>167641</xdr:rowOff>
    </xdr:from>
    <xdr:to>
      <xdr:col>12</xdr:col>
      <xdr:colOff>198120</xdr:colOff>
      <xdr:row>27</xdr:row>
      <xdr:rowOff>167641</xdr:rowOff>
    </xdr:to>
    <xdr:graphicFrame macro="">
      <xdr:nvGraphicFramePr>
        <xdr:cNvPr id="32" name="Chart 1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436246</xdr:colOff>
      <xdr:row>22</xdr:row>
      <xdr:rowOff>85725</xdr:rowOff>
    </xdr:from>
    <xdr:to>
      <xdr:col>12</xdr:col>
      <xdr:colOff>167640</xdr:colOff>
      <xdr:row>24</xdr:row>
      <xdr:rowOff>123825</xdr:rowOff>
    </xdr:to>
    <xdr:sp macro="" textlink="">
      <xdr:nvSpPr>
        <xdr:cNvPr id="33" name="Rectangle 32">
          <a:extLst>
            <a:ext uri="{FF2B5EF4-FFF2-40B4-BE49-F238E27FC236}">
              <a16:creationId xmlns:a16="http://schemas.microsoft.com/office/drawing/2014/main" id="{00000000-0008-0000-0200-000021000000}"/>
            </a:ext>
          </a:extLst>
        </xdr:cNvPr>
        <xdr:cNvSpPr/>
      </xdr:nvSpPr>
      <xdr:spPr>
        <a:xfrm>
          <a:off x="5922646" y="4109085"/>
          <a:ext cx="1560194" cy="4038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455294</xdr:colOff>
      <xdr:row>23</xdr:row>
      <xdr:rowOff>28576</xdr:rowOff>
    </xdr:from>
    <xdr:to>
      <xdr:col>6</xdr:col>
      <xdr:colOff>158115</xdr:colOff>
      <xdr:row>24</xdr:row>
      <xdr:rowOff>104776</xdr:rowOff>
    </xdr:to>
    <xdr:sp macro="" textlink="">
      <xdr:nvSpPr>
        <xdr:cNvPr id="34" name="Rounded Rectangle 6">
          <a:extLst>
            <a:ext uri="{FF2B5EF4-FFF2-40B4-BE49-F238E27FC236}">
              <a16:creationId xmlns:a16="http://schemas.microsoft.com/office/drawing/2014/main" id="{00000000-0008-0000-0200-000022000000}"/>
            </a:ext>
          </a:extLst>
        </xdr:cNvPr>
        <xdr:cNvSpPr/>
      </xdr:nvSpPr>
      <xdr:spPr>
        <a:xfrm>
          <a:off x="2284094" y="4234816"/>
          <a:ext cx="1531621" cy="25908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455295</xdr:colOff>
      <xdr:row>24</xdr:row>
      <xdr:rowOff>133351</xdr:rowOff>
    </xdr:from>
    <xdr:to>
      <xdr:col>12</xdr:col>
      <xdr:colOff>167640</xdr:colOff>
      <xdr:row>26</xdr:row>
      <xdr:rowOff>19051</xdr:rowOff>
    </xdr:to>
    <xdr:sp macro="" textlink="">
      <xdr:nvSpPr>
        <xdr:cNvPr id="35" name="Rounded Rectangle 66">
          <a:extLst>
            <a:ext uri="{FF2B5EF4-FFF2-40B4-BE49-F238E27FC236}">
              <a16:creationId xmlns:a16="http://schemas.microsoft.com/office/drawing/2014/main" id="{00000000-0008-0000-0200-000023000000}"/>
            </a:ext>
          </a:extLst>
        </xdr:cNvPr>
        <xdr:cNvSpPr/>
      </xdr:nvSpPr>
      <xdr:spPr>
        <a:xfrm>
          <a:off x="5941695" y="4522471"/>
          <a:ext cx="1541145" cy="25146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335280</xdr:colOff>
      <xdr:row>24</xdr:row>
      <xdr:rowOff>66675</xdr:rowOff>
    </xdr:from>
    <xdr:to>
      <xdr:col>5</xdr:col>
      <xdr:colOff>30480</xdr:colOff>
      <xdr:row>25</xdr:row>
      <xdr:rowOff>180975</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164080" y="4455795"/>
          <a:ext cx="9144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Opportunities</a:t>
          </a:r>
          <a:endParaRPr lang="en-US" sz="1200" b="0">
            <a:solidFill>
              <a:srgbClr val="780000"/>
            </a:solidFill>
            <a:latin typeface="Arial Special G1" panose="050B0604020202020204" pitchFamily="34" charset="2"/>
            <a:cs typeface="Consolas" panose="020B0609020204030204" pitchFamily="49" charset="0"/>
          </a:endParaRPr>
        </a:p>
      </xdr:txBody>
    </xdr:sp>
    <xdr:clientData/>
  </xdr:twoCellAnchor>
  <xdr:twoCellAnchor>
    <xdr:from>
      <xdr:col>4</xdr:col>
      <xdr:colOff>487680</xdr:colOff>
      <xdr:row>24</xdr:row>
      <xdr:rowOff>76200</xdr:rowOff>
    </xdr:from>
    <xdr:to>
      <xdr:col>6</xdr:col>
      <xdr:colOff>308610</xdr:colOff>
      <xdr:row>26</xdr:row>
      <xdr:rowOff>0</xdr:rowOff>
    </xdr:to>
    <xdr:sp macro="" textlink="visualization!O71">
      <xdr:nvSpPr>
        <xdr:cNvPr id="37" name="TextBox 36">
          <a:extLst>
            <a:ext uri="{FF2B5EF4-FFF2-40B4-BE49-F238E27FC236}">
              <a16:creationId xmlns:a16="http://schemas.microsoft.com/office/drawing/2014/main" id="{00000000-0008-0000-0200-000025000000}"/>
            </a:ext>
          </a:extLst>
        </xdr:cNvPr>
        <xdr:cNvSpPr txBox="1"/>
      </xdr:nvSpPr>
      <xdr:spPr>
        <a:xfrm>
          <a:off x="2926080" y="446532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F868F0-C0DA-499D-9B40-0BE4CC849A15}" type="TxLink">
            <a:rPr lang="en-US" sz="1400" b="1" i="0" u="none" strike="noStrike">
              <a:solidFill>
                <a:schemeClr val="tx1">
                  <a:lumMod val="65000"/>
                  <a:lumOff val="35000"/>
                </a:schemeClr>
              </a:solidFill>
              <a:latin typeface="Agency FB" panose="020B0503020202020204" pitchFamily="34" charset="0"/>
              <a:ea typeface="+mn-ea"/>
              <a:cs typeface="Calibri"/>
            </a:rPr>
            <a:pPr marL="0" indent="0" algn="ctr"/>
            <a:t>96</a:t>
          </a:fld>
          <a:endParaRPr lang="en-US" sz="1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219075</xdr:colOff>
      <xdr:row>25</xdr:row>
      <xdr:rowOff>104775</xdr:rowOff>
    </xdr:from>
    <xdr:to>
      <xdr:col>5</xdr:col>
      <xdr:colOff>175260</xdr:colOff>
      <xdr:row>27</xdr:row>
      <xdr:rowOff>28575</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2047875" y="4676775"/>
          <a:ext cx="117538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%Oppotunities:</a:t>
          </a:r>
        </a:p>
      </xdr:txBody>
    </xdr:sp>
    <xdr:clientData/>
  </xdr:twoCellAnchor>
  <xdr:twoCellAnchor>
    <xdr:from>
      <xdr:col>5</xdr:col>
      <xdr:colOff>45720</xdr:colOff>
      <xdr:row>25</xdr:row>
      <xdr:rowOff>114300</xdr:rowOff>
    </xdr:from>
    <xdr:to>
      <xdr:col>6</xdr:col>
      <xdr:colOff>270510</xdr:colOff>
      <xdr:row>27</xdr:row>
      <xdr:rowOff>38100</xdr:rowOff>
    </xdr:to>
    <xdr:sp macro="" textlink="visualization!N71">
      <xdr:nvSpPr>
        <xdr:cNvPr id="39" name="TextBox 38">
          <a:extLst>
            <a:ext uri="{FF2B5EF4-FFF2-40B4-BE49-F238E27FC236}">
              <a16:creationId xmlns:a16="http://schemas.microsoft.com/office/drawing/2014/main" id="{00000000-0008-0000-0200-000027000000}"/>
            </a:ext>
          </a:extLst>
        </xdr:cNvPr>
        <xdr:cNvSpPr txBox="1"/>
      </xdr:nvSpPr>
      <xdr:spPr>
        <a:xfrm>
          <a:off x="3093720" y="4686300"/>
          <a:ext cx="83439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4C9DFA-5BC1-4702-9916-CC047BE1BA59}" type="TxLink">
            <a:rPr lang="en-US" sz="1400" b="1" i="0" u="none" strike="noStrike">
              <a:solidFill>
                <a:srgbClr val="780000"/>
              </a:solidFill>
              <a:latin typeface="Calibri"/>
              <a:ea typeface="+mn-ea"/>
              <a:cs typeface="Calibri"/>
            </a:rPr>
            <a:pPr marL="0" indent="0" algn="ctr"/>
            <a:t>20%</a:t>
          </a:fld>
          <a:endParaRPr lang="en-US" sz="1400" b="1" i="0" u="none" strike="noStrike">
            <a:solidFill>
              <a:srgbClr val="780000"/>
            </a:solidFill>
            <a:latin typeface="Calibri"/>
            <a:ea typeface="+mn-ea"/>
            <a:cs typeface="Consolas" panose="020B0609020204030204" pitchFamily="49" charset="0"/>
          </a:endParaRPr>
        </a:p>
      </xdr:txBody>
    </xdr:sp>
    <xdr:clientData/>
  </xdr:twoCellAnchor>
  <xdr:twoCellAnchor>
    <xdr:from>
      <xdr:col>9</xdr:col>
      <xdr:colOff>436245</xdr:colOff>
      <xdr:row>22</xdr:row>
      <xdr:rowOff>47625</xdr:rowOff>
    </xdr:from>
    <xdr:to>
      <xdr:col>10</xdr:col>
      <xdr:colOff>546735</xdr:colOff>
      <xdr:row>23</xdr:row>
      <xdr:rowOff>161925</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5922645" y="4070985"/>
          <a:ext cx="72009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a:t>
          </a:r>
        </a:p>
      </xdr:txBody>
    </xdr:sp>
    <xdr:clientData/>
  </xdr:twoCellAnchor>
  <xdr:twoCellAnchor>
    <xdr:from>
      <xdr:col>10</xdr:col>
      <xdr:colOff>251460</xdr:colOff>
      <xdr:row>22</xdr:row>
      <xdr:rowOff>57150</xdr:rowOff>
    </xdr:from>
    <xdr:to>
      <xdr:col>12</xdr:col>
      <xdr:colOff>253365</xdr:colOff>
      <xdr:row>23</xdr:row>
      <xdr:rowOff>171450</xdr:rowOff>
    </xdr:to>
    <xdr:sp macro="" textlink="visualization!O70">
      <xdr:nvSpPr>
        <xdr:cNvPr id="41" name="TextBox 40">
          <a:extLst>
            <a:ext uri="{FF2B5EF4-FFF2-40B4-BE49-F238E27FC236}">
              <a16:creationId xmlns:a16="http://schemas.microsoft.com/office/drawing/2014/main" id="{00000000-0008-0000-0200-000029000000}"/>
            </a:ext>
          </a:extLst>
        </xdr:cNvPr>
        <xdr:cNvSpPr txBox="1"/>
      </xdr:nvSpPr>
      <xdr:spPr>
        <a:xfrm>
          <a:off x="6347460" y="4080510"/>
          <a:ext cx="1221105"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EEDE68-EB11-4171-A4ED-CA8AA30CDAC6}" type="TxLink">
            <a:rPr lang="en-US" sz="1400" b="1" i="0" u="none" strike="noStrike">
              <a:solidFill>
                <a:schemeClr val="tx1">
                  <a:lumMod val="65000"/>
                  <a:lumOff val="35000"/>
                </a:schemeClr>
              </a:solidFill>
              <a:latin typeface="Agency FB" panose="020B0503020202020204" pitchFamily="34" charset="0"/>
              <a:ea typeface="+mn-ea"/>
              <a:cs typeface="Calibri"/>
            </a:rPr>
            <a:pPr marL="0" indent="0" algn="ctr"/>
            <a:t>212</a:t>
          </a:fld>
          <a:endParaRPr lang="en-US" sz="1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9</xdr:col>
      <xdr:colOff>407670</xdr:colOff>
      <xdr:row>23</xdr:row>
      <xdr:rowOff>85725</xdr:rowOff>
    </xdr:from>
    <xdr:to>
      <xdr:col>10</xdr:col>
      <xdr:colOff>603885</xdr:colOff>
      <xdr:row>25</xdr:row>
      <xdr:rowOff>9525</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5894070" y="4291965"/>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a:t>
          </a:r>
        </a:p>
      </xdr:txBody>
    </xdr:sp>
    <xdr:clientData/>
  </xdr:twoCellAnchor>
  <xdr:twoCellAnchor>
    <xdr:from>
      <xdr:col>10</xdr:col>
      <xdr:colOff>470535</xdr:colOff>
      <xdr:row>23</xdr:row>
      <xdr:rowOff>95250</xdr:rowOff>
    </xdr:from>
    <xdr:to>
      <xdr:col>12</xdr:col>
      <xdr:colOff>100965</xdr:colOff>
      <xdr:row>25</xdr:row>
      <xdr:rowOff>19050</xdr:rowOff>
    </xdr:to>
    <xdr:sp macro="" textlink="visualization!N70">
      <xdr:nvSpPr>
        <xdr:cNvPr id="43" name="TextBox 42">
          <a:extLst>
            <a:ext uri="{FF2B5EF4-FFF2-40B4-BE49-F238E27FC236}">
              <a16:creationId xmlns:a16="http://schemas.microsoft.com/office/drawing/2014/main" id="{00000000-0008-0000-0200-00002B000000}"/>
            </a:ext>
          </a:extLst>
        </xdr:cNvPr>
        <xdr:cNvSpPr txBox="1"/>
      </xdr:nvSpPr>
      <xdr:spPr>
        <a:xfrm>
          <a:off x="6566535" y="4301490"/>
          <a:ext cx="8496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6F3835-4AAA-42BE-95CF-17A4AF6A907C}" type="TxLink">
            <a:rPr lang="en-US" sz="1400" b="1" i="0" u="none" strike="noStrike">
              <a:solidFill>
                <a:srgbClr val="6690BC"/>
              </a:solidFill>
              <a:latin typeface="Calibri"/>
              <a:ea typeface="+mn-ea"/>
              <a:cs typeface="Calibri"/>
            </a:rPr>
            <a:pPr marL="0" indent="0" algn="ctr"/>
            <a:t>44%</a:t>
          </a:fld>
          <a:endParaRPr lang="en-US" sz="1400" b="1" i="0" u="none" strike="noStrike">
            <a:solidFill>
              <a:srgbClr val="6690BC"/>
            </a:solidFill>
            <a:latin typeface="Calibri"/>
            <a:ea typeface="+mn-ea"/>
            <a:cs typeface="Consolas" panose="020B0609020204030204" pitchFamily="49" charset="0"/>
          </a:endParaRPr>
        </a:p>
      </xdr:txBody>
    </xdr:sp>
    <xdr:clientData/>
  </xdr:twoCellAnchor>
  <xdr:twoCellAnchor>
    <xdr:from>
      <xdr:col>6</xdr:col>
      <xdr:colOff>320039</xdr:colOff>
      <xdr:row>3</xdr:row>
      <xdr:rowOff>85726</xdr:rowOff>
    </xdr:from>
    <xdr:to>
      <xdr:col>12</xdr:col>
      <xdr:colOff>62864</xdr:colOff>
      <xdr:row>11</xdr:row>
      <xdr:rowOff>66675</xdr:rowOff>
    </xdr:to>
    <xdr:sp macro="" textlink="">
      <xdr:nvSpPr>
        <xdr:cNvPr id="44" name="Rounded Rectangle 76">
          <a:extLst>
            <a:ext uri="{FF2B5EF4-FFF2-40B4-BE49-F238E27FC236}">
              <a16:creationId xmlns:a16="http://schemas.microsoft.com/office/drawing/2014/main" id="{00000000-0008-0000-0200-00002C000000}"/>
            </a:ext>
          </a:extLst>
        </xdr:cNvPr>
        <xdr:cNvSpPr/>
      </xdr:nvSpPr>
      <xdr:spPr>
        <a:xfrm>
          <a:off x="3977639" y="634366"/>
          <a:ext cx="3400425" cy="1443989"/>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253365</xdr:colOff>
      <xdr:row>2</xdr:row>
      <xdr:rowOff>85725</xdr:rowOff>
    </xdr:from>
    <xdr:to>
      <xdr:col>12</xdr:col>
      <xdr:colOff>192405</xdr:colOff>
      <xdr:row>11</xdr:row>
      <xdr:rowOff>85725</xdr:rowOff>
    </xdr:to>
    <xdr:graphicFrame macro="">
      <xdr:nvGraphicFramePr>
        <xdr:cNvPr id="45" name="Chart 44">
          <a:extLst>
            <a:ext uri="{FF2B5EF4-FFF2-40B4-BE49-F238E27FC236}">
              <a16:creationId xmlns:a16="http://schemas.microsoft.com/office/drawing/2014/main" id="{00000000-0008-0000-02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556260</xdr:colOff>
      <xdr:row>3</xdr:row>
      <xdr:rowOff>76200</xdr:rowOff>
    </xdr:from>
    <xdr:to>
      <xdr:col>12</xdr:col>
      <xdr:colOff>287655</xdr:colOff>
      <xdr:row>5</xdr:row>
      <xdr:rowOff>0</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6042660" y="624840"/>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Monthly trends</a:t>
          </a:r>
        </a:p>
      </xdr:txBody>
    </xdr:sp>
    <xdr:clientData/>
  </xdr:twoCellAnchor>
  <xdr:twoCellAnchor>
    <xdr:from>
      <xdr:col>6</xdr:col>
      <xdr:colOff>467678</xdr:colOff>
      <xdr:row>3</xdr:row>
      <xdr:rowOff>76200</xdr:rowOff>
    </xdr:from>
    <xdr:to>
      <xdr:col>8</xdr:col>
      <xdr:colOff>54293</xdr:colOff>
      <xdr:row>5</xdr:row>
      <xdr:rowOff>0</xdr:rowOff>
    </xdr:to>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4125278" y="624840"/>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clientData/>
  </xdr:twoCellAnchor>
  <xdr:twoCellAnchor>
    <xdr:from>
      <xdr:col>6</xdr:col>
      <xdr:colOff>310515</xdr:colOff>
      <xdr:row>11</xdr:row>
      <xdr:rowOff>171449</xdr:rowOff>
    </xdr:from>
    <xdr:to>
      <xdr:col>12</xdr:col>
      <xdr:colOff>53340</xdr:colOff>
      <xdr:row>19</xdr:row>
      <xdr:rowOff>104775</xdr:rowOff>
    </xdr:to>
    <xdr:grpSp>
      <xdr:nvGrpSpPr>
        <xdr:cNvPr id="48" name="Group 47">
          <a:extLst>
            <a:ext uri="{FF2B5EF4-FFF2-40B4-BE49-F238E27FC236}">
              <a16:creationId xmlns:a16="http://schemas.microsoft.com/office/drawing/2014/main" id="{00000000-0008-0000-0200-000030000000}"/>
            </a:ext>
          </a:extLst>
        </xdr:cNvPr>
        <xdr:cNvGrpSpPr/>
      </xdr:nvGrpSpPr>
      <xdr:grpSpPr>
        <a:xfrm>
          <a:off x="3968115" y="2183129"/>
          <a:ext cx="3400425" cy="1396366"/>
          <a:chOff x="2171700" y="3914774"/>
          <a:chExt cx="1600200" cy="1285876"/>
        </a:xfrm>
      </xdr:grpSpPr>
      <xdr:sp macro="" textlink="">
        <xdr:nvSpPr>
          <xdr:cNvPr id="49" name="Rounded Rectangle 125">
            <a:extLst>
              <a:ext uri="{FF2B5EF4-FFF2-40B4-BE49-F238E27FC236}">
                <a16:creationId xmlns:a16="http://schemas.microsoft.com/office/drawing/2014/main" id="{00000000-0008-0000-0200-000031000000}"/>
              </a:ext>
            </a:extLst>
          </xdr:cNvPr>
          <xdr:cNvSpPr/>
        </xdr:nvSpPr>
        <xdr:spPr>
          <a:xfrm>
            <a:off x="2171700" y="3914774"/>
            <a:ext cx="1600200" cy="1247776"/>
          </a:xfrm>
          <a:prstGeom prst="roundRect">
            <a:avLst>
              <a:gd name="adj" fmla="val 4763"/>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Rounded Rectangle 126">
            <a:extLst>
              <a:ext uri="{FF2B5EF4-FFF2-40B4-BE49-F238E27FC236}">
                <a16:creationId xmlns:a16="http://schemas.microsoft.com/office/drawing/2014/main" id="{00000000-0008-0000-0200-000032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434340</xdr:colOff>
      <xdr:row>13</xdr:row>
      <xdr:rowOff>46256</xdr:rowOff>
    </xdr:from>
    <xdr:to>
      <xdr:col>12</xdr:col>
      <xdr:colOff>489585</xdr:colOff>
      <xdr:row>19</xdr:row>
      <xdr:rowOff>27207</xdr:rowOff>
    </xdr:to>
    <xdr:graphicFrame macro="">
      <xdr:nvGraphicFramePr>
        <xdr:cNvPr id="51" name="Chart 50">
          <a:extLst>
            <a:ext uri="{FF2B5EF4-FFF2-40B4-BE49-F238E27FC236}">
              <a16:creationId xmlns:a16="http://schemas.microsoft.com/office/drawing/2014/main" id="{00000000-0008-0000-02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447675</xdr:colOff>
      <xdr:row>13</xdr:row>
      <xdr:rowOff>34992</xdr:rowOff>
    </xdr:from>
    <xdr:to>
      <xdr:col>8</xdr:col>
      <xdr:colOff>502920</xdr:colOff>
      <xdr:row>19</xdr:row>
      <xdr:rowOff>15943</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295275</xdr:colOff>
      <xdr:row>15</xdr:row>
      <xdr:rowOff>68330</xdr:rowOff>
    </xdr:from>
    <xdr:to>
      <xdr:col>8</xdr:col>
      <xdr:colOff>116205</xdr:colOff>
      <xdr:row>16</xdr:row>
      <xdr:rowOff>177661</xdr:rowOff>
    </xdr:to>
    <xdr:sp macro="" textlink="visualization!N251">
      <xdr:nvSpPr>
        <xdr:cNvPr id="53" name="TextBox 52">
          <a:extLst>
            <a:ext uri="{FF2B5EF4-FFF2-40B4-BE49-F238E27FC236}">
              <a16:creationId xmlns:a16="http://schemas.microsoft.com/office/drawing/2014/main" id="{00000000-0008-0000-0200-000035000000}"/>
            </a:ext>
          </a:extLst>
        </xdr:cNvPr>
        <xdr:cNvSpPr txBox="1"/>
      </xdr:nvSpPr>
      <xdr:spPr>
        <a:xfrm>
          <a:off x="3952875" y="2811530"/>
          <a:ext cx="1040130"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1147921-31E4-49D5-A22F-A7251F0EDDCA}" type="TxLink">
            <a:rPr lang="en-US" sz="1600" b="1" i="0" u="none" strike="noStrike">
              <a:solidFill>
                <a:schemeClr val="accent2">
                  <a:lumMod val="75000"/>
                </a:schemeClr>
              </a:solidFill>
              <a:latin typeface="Calibri"/>
              <a:ea typeface="+mn-ea"/>
              <a:cs typeface="Calibri"/>
            </a:rPr>
            <a:pPr marL="0" indent="0" algn="ctr"/>
            <a:t>33.3%</a:t>
          </a:fld>
          <a:endParaRPr lang="en-US" sz="1600" b="1" i="0" u="none" strike="noStrike">
            <a:solidFill>
              <a:schemeClr val="accent2">
                <a:lumMod val="75000"/>
              </a:schemeClr>
            </a:solidFill>
            <a:latin typeface="Calibri"/>
            <a:ea typeface="+mn-ea"/>
            <a:cs typeface="Consolas" panose="020B0609020204030204" pitchFamily="49" charset="0"/>
          </a:endParaRPr>
        </a:p>
      </xdr:txBody>
    </xdr:sp>
    <xdr:clientData/>
  </xdr:twoCellAnchor>
  <xdr:twoCellAnchor>
    <xdr:from>
      <xdr:col>10</xdr:col>
      <xdr:colOff>268605</xdr:colOff>
      <xdr:row>15</xdr:row>
      <xdr:rowOff>60544</xdr:rowOff>
    </xdr:from>
    <xdr:to>
      <xdr:col>12</xdr:col>
      <xdr:colOff>89535</xdr:colOff>
      <xdr:row>16</xdr:row>
      <xdr:rowOff>169875</xdr:rowOff>
    </xdr:to>
    <xdr:sp macro="" textlink="visualization!N257">
      <xdr:nvSpPr>
        <xdr:cNvPr id="54" name="TextBox 53">
          <a:extLst>
            <a:ext uri="{FF2B5EF4-FFF2-40B4-BE49-F238E27FC236}">
              <a16:creationId xmlns:a16="http://schemas.microsoft.com/office/drawing/2014/main" id="{00000000-0008-0000-0200-000036000000}"/>
            </a:ext>
          </a:extLst>
        </xdr:cNvPr>
        <xdr:cNvSpPr txBox="1"/>
      </xdr:nvSpPr>
      <xdr:spPr>
        <a:xfrm>
          <a:off x="6364605" y="2803744"/>
          <a:ext cx="1040130"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99E4091-269C-4EA4-880B-28328C3CF7E3}" type="TxLink">
            <a:rPr lang="en-US" sz="1600" b="1" i="0" u="none" strike="noStrike">
              <a:solidFill>
                <a:schemeClr val="accent4">
                  <a:lumMod val="75000"/>
                </a:schemeClr>
              </a:solidFill>
              <a:latin typeface="Calibri"/>
              <a:ea typeface="+mn-ea"/>
              <a:cs typeface="Calibri"/>
            </a:rPr>
            <a:pPr marL="0" indent="0" algn="ctr"/>
            <a:t>33.5%</a:t>
          </a:fld>
          <a:endParaRPr lang="en-US" sz="1600" b="1" i="0" u="none" strike="noStrike">
            <a:solidFill>
              <a:schemeClr val="accent4">
                <a:lumMod val="75000"/>
              </a:schemeClr>
            </a:solidFill>
            <a:latin typeface="Calibri"/>
            <a:ea typeface="+mn-ea"/>
            <a:cs typeface="Consolas" panose="020B0609020204030204" pitchFamily="49" charset="0"/>
          </a:endParaRPr>
        </a:p>
      </xdr:txBody>
    </xdr:sp>
    <xdr:clientData/>
  </xdr:twoCellAnchor>
  <xdr:twoCellAnchor>
    <xdr:from>
      <xdr:col>6</xdr:col>
      <xdr:colOff>353251</xdr:colOff>
      <xdr:row>12</xdr:row>
      <xdr:rowOff>99390</xdr:rowOff>
    </xdr:from>
    <xdr:to>
      <xdr:col>7</xdr:col>
      <xdr:colOff>564706</xdr:colOff>
      <xdr:row>14</xdr:row>
      <xdr:rowOff>28160</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010851" y="2293950"/>
          <a:ext cx="821055" cy="294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Large</a:t>
          </a:r>
        </a:p>
      </xdr:txBody>
    </xdr:sp>
    <xdr:clientData/>
  </xdr:twoCellAnchor>
  <xdr:twoCellAnchor>
    <xdr:from>
      <xdr:col>10</xdr:col>
      <xdr:colOff>361120</xdr:colOff>
      <xdr:row>12</xdr:row>
      <xdr:rowOff>114713</xdr:rowOff>
    </xdr:from>
    <xdr:to>
      <xdr:col>11</xdr:col>
      <xdr:colOff>557335</xdr:colOff>
      <xdr:row>14</xdr:row>
      <xdr:rowOff>38513</xdr:rowOff>
    </xdr:to>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6457120" y="2309273"/>
          <a:ext cx="80581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Small</a:t>
          </a:r>
        </a:p>
      </xdr:txBody>
    </xdr:sp>
    <xdr:clientData/>
  </xdr:twoCellAnchor>
  <xdr:twoCellAnchor>
    <xdr:from>
      <xdr:col>10</xdr:col>
      <xdr:colOff>78105</xdr:colOff>
      <xdr:row>18</xdr:row>
      <xdr:rowOff>60544</xdr:rowOff>
    </xdr:from>
    <xdr:to>
      <xdr:col>12</xdr:col>
      <xdr:colOff>260985</xdr:colOff>
      <xdr:row>19</xdr:row>
      <xdr:rowOff>169875</xdr:rowOff>
    </xdr:to>
    <xdr:sp macro="" textlink="visualization!P257">
      <xdr:nvSpPr>
        <xdr:cNvPr id="57" name="TextBox 56">
          <a:extLst>
            <a:ext uri="{FF2B5EF4-FFF2-40B4-BE49-F238E27FC236}">
              <a16:creationId xmlns:a16="http://schemas.microsoft.com/office/drawing/2014/main" id="{00000000-0008-0000-0200-000039000000}"/>
            </a:ext>
          </a:extLst>
        </xdr:cNvPr>
        <xdr:cNvSpPr txBox="1"/>
      </xdr:nvSpPr>
      <xdr:spPr>
        <a:xfrm>
          <a:off x="6174105" y="3352384"/>
          <a:ext cx="1402080"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C3A2FE9-7F3C-4807-8817-605EE78AE4C4}"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163</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95250</xdr:colOff>
      <xdr:row>18</xdr:row>
      <xdr:rowOff>49280</xdr:rowOff>
    </xdr:from>
    <xdr:to>
      <xdr:col>8</xdr:col>
      <xdr:colOff>211455</xdr:colOff>
      <xdr:row>19</xdr:row>
      <xdr:rowOff>158611</xdr:rowOff>
    </xdr:to>
    <xdr:sp macro="" textlink="visualization!P251">
      <xdr:nvSpPr>
        <xdr:cNvPr id="58" name="TextBox 57">
          <a:extLst>
            <a:ext uri="{FF2B5EF4-FFF2-40B4-BE49-F238E27FC236}">
              <a16:creationId xmlns:a16="http://schemas.microsoft.com/office/drawing/2014/main" id="{00000000-0008-0000-0200-00003A000000}"/>
            </a:ext>
          </a:extLst>
        </xdr:cNvPr>
        <xdr:cNvSpPr txBox="1"/>
      </xdr:nvSpPr>
      <xdr:spPr>
        <a:xfrm>
          <a:off x="3752850" y="3341120"/>
          <a:ext cx="1335405"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7683B96-60A0-452D-B821-6610C926E472}"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162</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16</xdr:col>
      <xdr:colOff>492034</xdr:colOff>
      <xdr:row>13</xdr:row>
      <xdr:rowOff>131108</xdr:rowOff>
    </xdr:from>
    <xdr:to>
      <xdr:col>19</xdr:col>
      <xdr:colOff>78377</xdr:colOff>
      <xdr:row>19</xdr:row>
      <xdr:rowOff>79374</xdr:rowOff>
    </xdr:to>
    <xdr:sp macro="" textlink="">
      <xdr:nvSpPr>
        <xdr:cNvPr id="59" name="Rounded Rectangle 89">
          <a:extLst>
            <a:ext uri="{FF2B5EF4-FFF2-40B4-BE49-F238E27FC236}">
              <a16:creationId xmlns:a16="http://schemas.microsoft.com/office/drawing/2014/main" id="{00000000-0008-0000-0200-00003B000000}"/>
            </a:ext>
          </a:extLst>
        </xdr:cNvPr>
        <xdr:cNvSpPr/>
      </xdr:nvSpPr>
      <xdr:spPr>
        <a:xfrm>
          <a:off x="10245634" y="2508548"/>
          <a:ext cx="1415143" cy="104554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196165</xdr:colOff>
      <xdr:row>14</xdr:row>
      <xdr:rowOff>41257</xdr:rowOff>
    </xdr:from>
    <xdr:to>
      <xdr:col>18</xdr:col>
      <xdr:colOff>388754</xdr:colOff>
      <xdr:row>15</xdr:row>
      <xdr:rowOff>120805</xdr:rowOff>
    </xdr:to>
    <xdr:sp macro="" textlink="">
      <xdr:nvSpPr>
        <xdr:cNvPr id="60" name="TextBox 59">
          <a:extLst>
            <a:ext uri="{FF2B5EF4-FFF2-40B4-BE49-F238E27FC236}">
              <a16:creationId xmlns:a16="http://schemas.microsoft.com/office/drawing/2014/main" id="{00000000-0008-0000-0200-00003C000000}"/>
            </a:ext>
          </a:extLst>
        </xdr:cNvPr>
        <xdr:cNvSpPr txBox="1"/>
      </xdr:nvSpPr>
      <xdr:spPr>
        <a:xfrm>
          <a:off x="10559365" y="2601577"/>
          <a:ext cx="802189" cy="262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a:t>
          </a:r>
        </a:p>
      </xdr:txBody>
    </xdr:sp>
    <xdr:clientData/>
  </xdr:twoCellAnchor>
  <xdr:twoCellAnchor>
    <xdr:from>
      <xdr:col>16</xdr:col>
      <xdr:colOff>339091</xdr:colOff>
      <xdr:row>14</xdr:row>
      <xdr:rowOff>169112</xdr:rowOff>
    </xdr:from>
    <xdr:to>
      <xdr:col>19</xdr:col>
      <xdr:colOff>249976</xdr:colOff>
      <xdr:row>17</xdr:row>
      <xdr:rowOff>137126</xdr:rowOff>
    </xdr:to>
    <xdr:sp macro="" textlink="visualization!A348">
      <xdr:nvSpPr>
        <xdr:cNvPr id="61" name="TextBox 60">
          <a:extLst>
            <a:ext uri="{FF2B5EF4-FFF2-40B4-BE49-F238E27FC236}">
              <a16:creationId xmlns:a16="http://schemas.microsoft.com/office/drawing/2014/main" id="{00000000-0008-0000-0200-00003D000000}"/>
            </a:ext>
          </a:extLst>
        </xdr:cNvPr>
        <xdr:cNvSpPr txBox="1"/>
      </xdr:nvSpPr>
      <xdr:spPr>
        <a:xfrm>
          <a:off x="10092691" y="2729432"/>
          <a:ext cx="1739685" cy="516654"/>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067A55-272F-4DC3-9532-602A92E6BC21}" type="TxLink">
            <a:rPr lang="en-US" sz="1100" b="1" i="0" u="none" strike="noStrike">
              <a:solidFill>
                <a:schemeClr val="tx1">
                  <a:lumMod val="65000"/>
                  <a:lumOff val="35000"/>
                </a:schemeClr>
              </a:solidFill>
              <a:latin typeface="Consolas" panose="020B0609020204030204" pitchFamily="49" charset="0"/>
              <a:ea typeface="+mn-ea"/>
              <a:cs typeface="Calibri"/>
            </a:rPr>
            <a:pPr marL="0" indent="0" algn="ctr"/>
            <a:t>461120899</a:t>
          </a:fld>
          <a:endParaRPr lang="en-US" sz="1100" b="1">
            <a:solidFill>
              <a:schemeClr val="tx1">
                <a:lumMod val="65000"/>
                <a:lumOff val="35000"/>
              </a:schemeClr>
            </a:solidFill>
            <a:latin typeface="Consolas" panose="020B0609020204030204" pitchFamily="49" charset="0"/>
            <a:ea typeface="+mn-ea"/>
            <a:cs typeface="Consolas" panose="020B0609020204030204" pitchFamily="49" charset="0"/>
          </a:endParaRPr>
        </a:p>
      </xdr:txBody>
    </xdr:sp>
    <xdr:clientData/>
  </xdr:twoCellAnchor>
  <xdr:twoCellAnchor>
    <xdr:from>
      <xdr:col>17</xdr:col>
      <xdr:colOff>408540</xdr:colOff>
      <xdr:row>17</xdr:row>
      <xdr:rowOff>6899</xdr:rowOff>
    </xdr:from>
    <xdr:to>
      <xdr:col>19</xdr:col>
      <xdr:colOff>397455</xdr:colOff>
      <xdr:row>18</xdr:row>
      <xdr:rowOff>70044</xdr:rowOff>
    </xdr:to>
    <xdr:sp macro="" textlink="visualization!B348">
      <xdr:nvSpPr>
        <xdr:cNvPr id="62" name="TextBox 61">
          <a:extLst>
            <a:ext uri="{FF2B5EF4-FFF2-40B4-BE49-F238E27FC236}">
              <a16:creationId xmlns:a16="http://schemas.microsoft.com/office/drawing/2014/main" id="{00000000-0008-0000-0200-00003E000000}"/>
            </a:ext>
          </a:extLst>
        </xdr:cNvPr>
        <xdr:cNvSpPr txBox="1"/>
      </xdr:nvSpPr>
      <xdr:spPr>
        <a:xfrm>
          <a:off x="10771740" y="3115859"/>
          <a:ext cx="1208115" cy="246025"/>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2AD1285-374E-497B-BC9E-A8433DFD3B07}" type="TxLink">
            <a:rPr lang="en-US" sz="1100" b="1" i="0" u="none" strike="noStrike">
              <a:solidFill>
                <a:schemeClr val="tx1">
                  <a:lumMod val="65000"/>
                  <a:lumOff val="35000"/>
                </a:schemeClr>
              </a:solidFill>
              <a:latin typeface="Consolas" panose="020B0609020204030204" pitchFamily="49" charset="0"/>
              <a:ea typeface="+mn-ea"/>
              <a:cs typeface="Calibri"/>
            </a:rPr>
            <a:pPr marL="0" indent="0" algn="ctr"/>
            <a:t>948808</a:t>
          </a:fld>
          <a:endParaRPr lang="en-US" sz="1100" b="1">
            <a:solidFill>
              <a:schemeClr val="tx1">
                <a:lumMod val="65000"/>
                <a:lumOff val="35000"/>
              </a:schemeClr>
            </a:solidFill>
            <a:latin typeface="Consolas" panose="020B0609020204030204" pitchFamily="49" charset="0"/>
            <a:ea typeface="+mn-ea"/>
            <a:cs typeface="Consolas" panose="020B0609020204030204" pitchFamily="49" charset="0"/>
          </a:endParaRPr>
        </a:p>
      </xdr:txBody>
    </xdr:sp>
    <xdr:clientData/>
  </xdr:twoCellAnchor>
  <xdr:twoCellAnchor>
    <xdr:from>
      <xdr:col>16</xdr:col>
      <xdr:colOff>448865</xdr:colOff>
      <xdr:row>16</xdr:row>
      <xdr:rowOff>174537</xdr:rowOff>
    </xdr:from>
    <xdr:to>
      <xdr:col>18</xdr:col>
      <xdr:colOff>31854</xdr:colOff>
      <xdr:row>18</xdr:row>
      <xdr:rowOff>71205</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10202465" y="3100617"/>
          <a:ext cx="802189" cy="262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65000"/>
                  <a:lumOff val="35000"/>
                </a:schemeClr>
              </a:solidFill>
              <a:latin typeface="Consolas" panose="020B0609020204030204" pitchFamily="49" charset="0"/>
              <a:cs typeface="Consolas" panose="020B0609020204030204" pitchFamily="49" charset="0"/>
            </a:rPr>
            <a:t>Average</a:t>
          </a:r>
        </a:p>
      </xdr:txBody>
    </xdr:sp>
    <xdr:clientData/>
  </xdr:twoCellAnchor>
  <xdr:twoCellAnchor>
    <xdr:from>
      <xdr:col>18</xdr:col>
      <xdr:colOff>265879</xdr:colOff>
      <xdr:row>16</xdr:row>
      <xdr:rowOff>141513</xdr:rowOff>
    </xdr:from>
    <xdr:to>
      <xdr:col>22</xdr:col>
      <xdr:colOff>287651</xdr:colOff>
      <xdr:row>19</xdr:row>
      <xdr:rowOff>162356</xdr:rowOff>
    </xdr:to>
    <xdr:grpSp>
      <xdr:nvGrpSpPr>
        <xdr:cNvPr id="64" name="Group 63">
          <a:extLst>
            <a:ext uri="{FF2B5EF4-FFF2-40B4-BE49-F238E27FC236}">
              <a16:creationId xmlns:a16="http://schemas.microsoft.com/office/drawing/2014/main" id="{00000000-0008-0000-0200-000040000000}"/>
            </a:ext>
          </a:extLst>
        </xdr:cNvPr>
        <xdr:cNvGrpSpPr/>
      </xdr:nvGrpSpPr>
      <xdr:grpSpPr>
        <a:xfrm>
          <a:off x="11238679" y="3067593"/>
          <a:ext cx="2460172" cy="569483"/>
          <a:chOff x="9229723" y="750625"/>
          <a:chExt cx="1609725" cy="645980"/>
        </a:xfrm>
      </xdr:grpSpPr>
      <xdr:sp macro="" textlink="">
        <xdr:nvSpPr>
          <xdr:cNvPr id="65" name="Rounded Rectangle 92">
            <a:extLst>
              <a:ext uri="{FF2B5EF4-FFF2-40B4-BE49-F238E27FC236}">
                <a16:creationId xmlns:a16="http://schemas.microsoft.com/office/drawing/2014/main" id="{00000000-0008-0000-0200-000041000000}"/>
              </a:ext>
            </a:extLst>
          </xdr:cNvPr>
          <xdr:cNvSpPr/>
        </xdr:nvSpPr>
        <xdr:spPr>
          <a:xfrm>
            <a:off x="9565916" y="750625"/>
            <a:ext cx="955327" cy="535900"/>
          </a:xfrm>
          <a:prstGeom prst="roundRect">
            <a:avLst>
              <a:gd name="adj" fmla="val 25144"/>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9305925" y="762000"/>
            <a:ext cx="1466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Transactions</a:t>
            </a:r>
          </a:p>
          <a:p>
            <a:pPr marL="0" indent="0" algn="ctr"/>
            <a:endParaRPr lang="en-US" sz="1100" b="1">
              <a:solidFill>
                <a:schemeClr val="tx1">
                  <a:lumMod val="65000"/>
                  <a:lumOff val="35000"/>
                </a:schemeClr>
              </a:solidFill>
              <a:latin typeface="Calibri" panose="020F0502020204030204" pitchFamily="34" charset="0"/>
              <a:ea typeface="+mn-ea"/>
              <a:cs typeface="Consolas" panose="020B0609020204030204" pitchFamily="49" charset="0"/>
            </a:endParaRPr>
          </a:p>
        </xdr:txBody>
      </xdr:sp>
      <xdr:sp macro="" textlink="visualization!C348">
        <xdr:nvSpPr>
          <xdr:cNvPr id="67" name="TextBox 66">
            <a:extLst>
              <a:ext uri="{FF2B5EF4-FFF2-40B4-BE49-F238E27FC236}">
                <a16:creationId xmlns:a16="http://schemas.microsoft.com/office/drawing/2014/main" id="{00000000-0008-0000-0200-000043000000}"/>
              </a:ext>
            </a:extLst>
          </xdr:cNvPr>
          <xdr:cNvSpPr txBox="1"/>
        </xdr:nvSpPr>
        <xdr:spPr>
          <a:xfrm>
            <a:off x="9229723" y="796529"/>
            <a:ext cx="1609725" cy="600076"/>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EF33F7-F355-4BAD-AF21-C0F2F8C8E8EC}" type="TxLink">
              <a:rPr lang="en-US" sz="1100" b="1">
                <a:solidFill>
                  <a:schemeClr val="tx1">
                    <a:lumMod val="65000"/>
                    <a:lumOff val="35000"/>
                  </a:schemeClr>
                </a:solidFill>
                <a:latin typeface="Consolas" panose="020B0609020204030204" pitchFamily="49" charset="0"/>
                <a:ea typeface="+mn-ea"/>
                <a:cs typeface="Consolas" panose="020B0609020204030204" pitchFamily="49" charset="0"/>
              </a:rPr>
              <a:pPr marL="0" indent="0" algn="ctr"/>
              <a:t>486</a:t>
            </a:fld>
            <a:endParaRPr lang="en-US" sz="1100" b="1">
              <a:solidFill>
                <a:schemeClr val="tx1">
                  <a:lumMod val="65000"/>
                  <a:lumOff val="35000"/>
                </a:schemeClr>
              </a:solidFill>
              <a:latin typeface="Consolas" panose="020B0609020204030204" pitchFamily="49" charset="0"/>
              <a:ea typeface="+mn-ea"/>
              <a:cs typeface="Consolas" panose="020B0609020204030204" pitchFamily="49" charset="0"/>
            </a:endParaRPr>
          </a:p>
        </xdr:txBody>
      </xdr:sp>
    </xdr:grpSp>
    <xdr:clientData/>
  </xdr:twoCellAnchor>
  <xdr:twoCellAnchor>
    <xdr:from>
      <xdr:col>19</xdr:col>
      <xdr:colOff>543186</xdr:colOff>
      <xdr:row>13</xdr:row>
      <xdr:rowOff>134988</xdr:rowOff>
    </xdr:from>
    <xdr:to>
      <xdr:col>22</xdr:col>
      <xdr:colOff>168027</xdr:colOff>
      <xdr:row>17</xdr:row>
      <xdr:rowOff>90400</xdr:rowOff>
    </xdr:to>
    <xdr:grpSp>
      <xdr:nvGrpSpPr>
        <xdr:cNvPr id="68" name="Group 67">
          <a:extLst>
            <a:ext uri="{FF2B5EF4-FFF2-40B4-BE49-F238E27FC236}">
              <a16:creationId xmlns:a16="http://schemas.microsoft.com/office/drawing/2014/main" id="{00000000-0008-0000-0200-000044000000}"/>
            </a:ext>
          </a:extLst>
        </xdr:cNvPr>
        <xdr:cNvGrpSpPr/>
      </xdr:nvGrpSpPr>
      <xdr:grpSpPr>
        <a:xfrm>
          <a:off x="12125586" y="2512428"/>
          <a:ext cx="1453641" cy="686932"/>
          <a:chOff x="11082337" y="750761"/>
          <a:chExt cx="1581151" cy="649846"/>
        </a:xfrm>
      </xdr:grpSpPr>
      <xdr:sp macro="" textlink="">
        <xdr:nvSpPr>
          <xdr:cNvPr id="69" name="Rounded Rectangle 95">
            <a:extLst>
              <a:ext uri="{FF2B5EF4-FFF2-40B4-BE49-F238E27FC236}">
                <a16:creationId xmlns:a16="http://schemas.microsoft.com/office/drawing/2014/main" id="{00000000-0008-0000-0200-000045000000}"/>
              </a:ext>
            </a:extLst>
          </xdr:cNvPr>
          <xdr:cNvSpPr/>
        </xdr:nvSpPr>
        <xdr:spPr>
          <a:xfrm>
            <a:off x="11535153" y="750761"/>
            <a:ext cx="733562" cy="49273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TextBox 69">
            <a:extLst>
              <a:ext uri="{FF2B5EF4-FFF2-40B4-BE49-F238E27FC236}">
                <a16:creationId xmlns:a16="http://schemas.microsoft.com/office/drawing/2014/main" id="{00000000-0008-0000-0200-000046000000}"/>
              </a:ext>
            </a:extLst>
          </xdr:cNvPr>
          <xdr:cNvSpPr txBox="1"/>
        </xdr:nvSpPr>
        <xdr:spPr>
          <a:xfrm>
            <a:off x="11082337" y="762000"/>
            <a:ext cx="15811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 Products</a:t>
            </a:r>
          </a:p>
        </xdr:txBody>
      </xdr:sp>
      <xdr:sp macro="" textlink="visualization!D347">
        <xdr:nvSpPr>
          <xdr:cNvPr id="71" name="TextBox 70">
            <a:extLst>
              <a:ext uri="{FF2B5EF4-FFF2-40B4-BE49-F238E27FC236}">
                <a16:creationId xmlns:a16="http://schemas.microsoft.com/office/drawing/2014/main" id="{00000000-0008-0000-0200-000047000000}"/>
              </a:ext>
            </a:extLst>
          </xdr:cNvPr>
          <xdr:cNvSpPr txBox="1"/>
        </xdr:nvSpPr>
        <xdr:spPr>
          <a:xfrm>
            <a:off x="11095297" y="814245"/>
            <a:ext cx="1491823" cy="586362"/>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019F0C-3B21-44AD-92CB-717D6C97E362}" type="TxLink">
              <a:rPr lang="en-US" sz="1100" b="1">
                <a:solidFill>
                  <a:schemeClr val="tx1">
                    <a:lumMod val="65000"/>
                    <a:lumOff val="35000"/>
                  </a:schemeClr>
                </a:solidFill>
                <a:latin typeface="Consolas" panose="020B0609020204030204" pitchFamily="49" charset="0"/>
                <a:ea typeface="+mn-ea"/>
                <a:cs typeface="Consolas" panose="020B0609020204030204" pitchFamily="49" charset="0"/>
              </a:rPr>
              <a:pPr marL="0" indent="0" algn="ctr"/>
              <a:t>25</a:t>
            </a:fld>
            <a:endParaRPr lang="en-US" sz="1100" b="1">
              <a:solidFill>
                <a:schemeClr val="tx1">
                  <a:lumMod val="65000"/>
                  <a:lumOff val="35000"/>
                </a:schemeClr>
              </a:solidFill>
              <a:latin typeface="Consolas" panose="020B0609020204030204" pitchFamily="49" charset="0"/>
              <a:ea typeface="+mn-ea"/>
              <a:cs typeface="Consolas" panose="020B0609020204030204" pitchFamily="49" charset="0"/>
            </a:endParaRPr>
          </a:p>
        </xdr:txBody>
      </xdr:sp>
    </xdr:grpSp>
    <xdr:clientData/>
  </xdr:twoCellAnchor>
  <xdr:twoCellAnchor>
    <xdr:from>
      <xdr:col>9</xdr:col>
      <xdr:colOff>165735</xdr:colOff>
      <xdr:row>28</xdr:row>
      <xdr:rowOff>19603</xdr:rowOff>
    </xdr:from>
    <xdr:to>
      <xdr:col>12</xdr:col>
      <xdr:colOff>1905</xdr:colOff>
      <xdr:row>36</xdr:row>
      <xdr:rowOff>12782</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5652135" y="5140243"/>
          <a:ext cx="1664970" cy="1456219"/>
          <a:chOff x="2152650" y="5335975"/>
          <a:chExt cx="1619250" cy="1377175"/>
        </a:xfrm>
      </xdr:grpSpPr>
      <xdr:sp macro="" textlink="">
        <xdr:nvSpPr>
          <xdr:cNvPr id="73" name="Rounded Rectangle 114">
            <a:extLst>
              <a:ext uri="{FF2B5EF4-FFF2-40B4-BE49-F238E27FC236}">
                <a16:creationId xmlns:a16="http://schemas.microsoft.com/office/drawing/2014/main" id="{00000000-0008-0000-0200-000049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ounded Rectangle 115">
            <a:extLst>
              <a:ext uri="{FF2B5EF4-FFF2-40B4-BE49-F238E27FC236}">
                <a16:creationId xmlns:a16="http://schemas.microsoft.com/office/drawing/2014/main" id="{00000000-0008-0000-0200-00004A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310515</xdr:colOff>
      <xdr:row>27</xdr:row>
      <xdr:rowOff>148713</xdr:rowOff>
    </xdr:from>
    <xdr:to>
      <xdr:col>6</xdr:col>
      <xdr:colOff>102870</xdr:colOff>
      <xdr:row>35</xdr:row>
      <xdr:rowOff>177042</xdr:rowOff>
    </xdr:to>
    <xdr:grpSp>
      <xdr:nvGrpSpPr>
        <xdr:cNvPr id="75" name="Group 74">
          <a:extLst>
            <a:ext uri="{FF2B5EF4-FFF2-40B4-BE49-F238E27FC236}">
              <a16:creationId xmlns:a16="http://schemas.microsoft.com/office/drawing/2014/main" id="{00000000-0008-0000-0200-00004B000000}"/>
            </a:ext>
          </a:extLst>
        </xdr:cNvPr>
        <xdr:cNvGrpSpPr/>
      </xdr:nvGrpSpPr>
      <xdr:grpSpPr>
        <a:xfrm>
          <a:off x="2139315" y="5086473"/>
          <a:ext cx="1621155" cy="1491369"/>
          <a:chOff x="2171700" y="3914774"/>
          <a:chExt cx="1600200" cy="1285876"/>
        </a:xfrm>
      </xdr:grpSpPr>
      <xdr:sp macro="" textlink="">
        <xdr:nvSpPr>
          <xdr:cNvPr id="76" name="Rounded Rectangle 117">
            <a:extLst>
              <a:ext uri="{FF2B5EF4-FFF2-40B4-BE49-F238E27FC236}">
                <a16:creationId xmlns:a16="http://schemas.microsoft.com/office/drawing/2014/main" id="{00000000-0008-0000-0200-00004C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Rounded Rectangle 118">
            <a:extLst>
              <a:ext uri="{FF2B5EF4-FFF2-40B4-BE49-F238E27FC236}">
                <a16:creationId xmlns:a16="http://schemas.microsoft.com/office/drawing/2014/main" id="{00000000-0008-0000-0200-00004D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26988</xdr:colOff>
      <xdr:row>28</xdr:row>
      <xdr:rowOff>19603</xdr:rowOff>
    </xdr:from>
    <xdr:to>
      <xdr:col>14</xdr:col>
      <xdr:colOff>457518</xdr:colOff>
      <xdr:row>36</xdr:row>
      <xdr:rowOff>12782</xdr:rowOff>
    </xdr:to>
    <xdr:grpSp>
      <xdr:nvGrpSpPr>
        <xdr:cNvPr id="78" name="Group 77">
          <a:extLst>
            <a:ext uri="{FF2B5EF4-FFF2-40B4-BE49-F238E27FC236}">
              <a16:creationId xmlns:a16="http://schemas.microsoft.com/office/drawing/2014/main" id="{00000000-0008-0000-0200-00004E000000}"/>
            </a:ext>
          </a:extLst>
        </xdr:cNvPr>
        <xdr:cNvGrpSpPr/>
      </xdr:nvGrpSpPr>
      <xdr:grpSpPr>
        <a:xfrm>
          <a:off x="7342188" y="5140243"/>
          <a:ext cx="1649730" cy="1456219"/>
          <a:chOff x="2152650" y="5335975"/>
          <a:chExt cx="1619250" cy="1377175"/>
        </a:xfrm>
      </xdr:grpSpPr>
      <xdr:sp macro="" textlink="">
        <xdr:nvSpPr>
          <xdr:cNvPr id="79" name="Rounded Rectangle 120">
            <a:extLst>
              <a:ext uri="{FF2B5EF4-FFF2-40B4-BE49-F238E27FC236}">
                <a16:creationId xmlns:a16="http://schemas.microsoft.com/office/drawing/2014/main" id="{00000000-0008-0000-0200-00004F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Rounded Rectangle 121">
            <a:extLst>
              <a:ext uri="{FF2B5EF4-FFF2-40B4-BE49-F238E27FC236}">
                <a16:creationId xmlns:a16="http://schemas.microsoft.com/office/drawing/2014/main" id="{00000000-0008-0000-0200-000050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280035</xdr:colOff>
      <xdr:row>27</xdr:row>
      <xdr:rowOff>148713</xdr:rowOff>
    </xdr:from>
    <xdr:to>
      <xdr:col>9</xdr:col>
      <xdr:colOff>72390</xdr:colOff>
      <xdr:row>35</xdr:row>
      <xdr:rowOff>177042</xdr:rowOff>
    </xdr:to>
    <xdr:grpSp>
      <xdr:nvGrpSpPr>
        <xdr:cNvPr id="81" name="Group 80">
          <a:extLst>
            <a:ext uri="{FF2B5EF4-FFF2-40B4-BE49-F238E27FC236}">
              <a16:creationId xmlns:a16="http://schemas.microsoft.com/office/drawing/2014/main" id="{00000000-0008-0000-0200-000051000000}"/>
            </a:ext>
          </a:extLst>
        </xdr:cNvPr>
        <xdr:cNvGrpSpPr/>
      </xdr:nvGrpSpPr>
      <xdr:grpSpPr>
        <a:xfrm>
          <a:off x="3937635" y="5086473"/>
          <a:ext cx="1621155" cy="1491369"/>
          <a:chOff x="2171700" y="3914774"/>
          <a:chExt cx="1600200" cy="1285876"/>
        </a:xfrm>
      </xdr:grpSpPr>
      <xdr:sp macro="" textlink="">
        <xdr:nvSpPr>
          <xdr:cNvPr id="82" name="Rounded Rectangle 123">
            <a:extLst>
              <a:ext uri="{FF2B5EF4-FFF2-40B4-BE49-F238E27FC236}">
                <a16:creationId xmlns:a16="http://schemas.microsoft.com/office/drawing/2014/main" id="{00000000-0008-0000-0200-000052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Rounded Rectangle 127">
            <a:extLst>
              <a:ext uri="{FF2B5EF4-FFF2-40B4-BE49-F238E27FC236}">
                <a16:creationId xmlns:a16="http://schemas.microsoft.com/office/drawing/2014/main" id="{00000000-0008-0000-0200-000053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365762</xdr:colOff>
      <xdr:row>28</xdr:row>
      <xdr:rowOff>68581</xdr:rowOff>
    </xdr:from>
    <xdr:to>
      <xdr:col>12</xdr:col>
      <xdr:colOff>144780</xdr:colOff>
      <xdr:row>35</xdr:row>
      <xdr:rowOff>87631</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5852162" y="5189221"/>
          <a:ext cx="1607818" cy="1299210"/>
          <a:chOff x="14839953" y="1000126"/>
          <a:chExt cx="1562098" cy="1352550"/>
        </a:xfrm>
      </xdr:grpSpPr>
      <xdr:sp macro="" textlink="">
        <xdr:nvSpPr>
          <xdr:cNvPr id="85" name="Oval 84">
            <a:extLst>
              <a:ext uri="{FF2B5EF4-FFF2-40B4-BE49-F238E27FC236}">
                <a16:creationId xmlns:a16="http://schemas.microsoft.com/office/drawing/2014/main" id="{00000000-0008-0000-0200-000055000000}"/>
              </a:ext>
            </a:extLst>
          </xdr:cNvPr>
          <xdr:cNvSpPr/>
        </xdr:nvSpPr>
        <xdr:spPr>
          <a:xfrm>
            <a:off x="15068550"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6" name="Chart 85">
            <a:extLst>
              <a:ext uri="{FF2B5EF4-FFF2-40B4-BE49-F238E27FC236}">
                <a16:creationId xmlns:a16="http://schemas.microsoft.com/office/drawing/2014/main" id="{00000000-0008-0000-0200-000056000000}"/>
              </a:ext>
            </a:extLst>
          </xdr:cNvPr>
          <xdr:cNvGraphicFramePr>
            <a:graphicFrameLocks/>
          </xdr:cNvGraphicFramePr>
        </xdr:nvGraphicFramePr>
        <xdr:xfrm>
          <a:off x="14839953" y="1162052"/>
          <a:ext cx="1190624" cy="971549"/>
        </xdr:xfrm>
        <a:graphic>
          <a:graphicData uri="http://schemas.openxmlformats.org/drawingml/2006/chart">
            <c:chart xmlns:c="http://schemas.openxmlformats.org/drawingml/2006/chart" xmlns:r="http://schemas.openxmlformats.org/officeDocument/2006/relationships" r:id="rId7"/>
          </a:graphicData>
        </a:graphic>
      </xdr:graphicFrame>
      <xdr:sp macro="" textlink="visualization!P6">
        <xdr:nvSpPr>
          <xdr:cNvPr id="87" name="TextBox 86">
            <a:extLst>
              <a:ext uri="{FF2B5EF4-FFF2-40B4-BE49-F238E27FC236}">
                <a16:creationId xmlns:a16="http://schemas.microsoft.com/office/drawing/2014/main" id="{00000000-0008-0000-0200-000057000000}"/>
              </a:ext>
            </a:extLst>
          </xdr:cNvPr>
          <xdr:cNvSpPr txBox="1"/>
        </xdr:nvSpPr>
        <xdr:spPr>
          <a:xfrm>
            <a:off x="14935201" y="1504952"/>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1ACA7ED-DFD5-441D-8A38-3E8082F0C817}" type="TxLink">
              <a:rPr lang="en-US" sz="1600" b="1" i="0" u="none" strike="noStrike">
                <a:solidFill>
                  <a:srgbClr val="6690BC"/>
                </a:solidFill>
                <a:latin typeface="Calibri"/>
                <a:ea typeface="+mn-ea"/>
                <a:cs typeface="Consolas" panose="020B0609020204030204" pitchFamily="49" charset="0"/>
              </a:rPr>
              <a:pPr marL="0" indent="0" algn="ctr"/>
              <a:t>14%</a:t>
            </a:fld>
            <a:endParaRPr lang="en-US" sz="1600" b="1" i="0" u="none" strike="noStrike">
              <a:solidFill>
                <a:srgbClr val="6690BC"/>
              </a:solidFill>
              <a:latin typeface="Calibri"/>
              <a:ea typeface="+mn-ea"/>
              <a:cs typeface="Consolas" panose="020B0609020204030204" pitchFamily="49" charset="0"/>
            </a:endParaRPr>
          </a:p>
        </xdr:txBody>
      </xdr:sp>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15611476"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3</a:t>
            </a:r>
          </a:p>
        </xdr:txBody>
      </xdr:sp>
      <xdr:sp macro="" textlink="visualization!O6">
        <xdr:nvSpPr>
          <xdr:cNvPr id="89" name="TextBox 88">
            <a:extLst>
              <a:ext uri="{FF2B5EF4-FFF2-40B4-BE49-F238E27FC236}">
                <a16:creationId xmlns:a16="http://schemas.microsoft.com/office/drawing/2014/main" id="{00000000-0008-0000-0200-000059000000}"/>
              </a:ext>
            </a:extLst>
          </xdr:cNvPr>
          <xdr:cNvSpPr txBox="1"/>
        </xdr:nvSpPr>
        <xdr:spPr>
          <a:xfrm>
            <a:off x="14849476"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5F288D1-27CD-4847-8309-504609A4B2F2}"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65137530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12</xdr:col>
      <xdr:colOff>323852</xdr:colOff>
      <xdr:row>28</xdr:row>
      <xdr:rowOff>23496</xdr:rowOff>
    </xdr:from>
    <xdr:to>
      <xdr:col>14</xdr:col>
      <xdr:colOff>560070</xdr:colOff>
      <xdr:row>35</xdr:row>
      <xdr:rowOff>140971</xdr:rowOff>
    </xdr:to>
    <xdr:grpSp>
      <xdr:nvGrpSpPr>
        <xdr:cNvPr id="90" name="Group 89">
          <a:extLst>
            <a:ext uri="{FF2B5EF4-FFF2-40B4-BE49-F238E27FC236}">
              <a16:creationId xmlns:a16="http://schemas.microsoft.com/office/drawing/2014/main" id="{00000000-0008-0000-0200-00005A000000}"/>
            </a:ext>
          </a:extLst>
        </xdr:cNvPr>
        <xdr:cNvGrpSpPr/>
      </xdr:nvGrpSpPr>
      <xdr:grpSpPr>
        <a:xfrm>
          <a:off x="7639052" y="5144136"/>
          <a:ext cx="1455418" cy="1397635"/>
          <a:chOff x="15916277" y="917400"/>
          <a:chExt cx="1411244" cy="1454326"/>
        </a:xfrm>
      </xdr:grpSpPr>
      <xdr:sp macro="" textlink="">
        <xdr:nvSpPr>
          <xdr:cNvPr id="91" name="Oval 90">
            <a:extLst>
              <a:ext uri="{FF2B5EF4-FFF2-40B4-BE49-F238E27FC236}">
                <a16:creationId xmlns:a16="http://schemas.microsoft.com/office/drawing/2014/main" id="{00000000-0008-0000-0200-00005B000000}"/>
              </a:ext>
            </a:extLst>
          </xdr:cNvPr>
          <xdr:cNvSpPr/>
        </xdr:nvSpPr>
        <xdr:spPr>
          <a:xfrm>
            <a:off x="1614487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2" name="Chart 91">
            <a:extLst>
              <a:ext uri="{FF2B5EF4-FFF2-40B4-BE49-F238E27FC236}">
                <a16:creationId xmlns:a16="http://schemas.microsoft.com/office/drawing/2014/main" id="{00000000-0008-0000-0200-00005C000000}"/>
              </a:ext>
            </a:extLst>
          </xdr:cNvPr>
          <xdr:cNvGraphicFramePr>
            <a:graphicFrameLocks/>
          </xdr:cNvGraphicFramePr>
        </xdr:nvGraphicFramePr>
        <xdr:xfrm>
          <a:off x="15916277" y="1162052"/>
          <a:ext cx="1190624" cy="971549"/>
        </xdr:xfrm>
        <a:graphic>
          <a:graphicData uri="http://schemas.openxmlformats.org/drawingml/2006/chart">
            <c:chart xmlns:c="http://schemas.openxmlformats.org/drawingml/2006/chart" xmlns:r="http://schemas.openxmlformats.org/officeDocument/2006/relationships" r:id="rId8"/>
          </a:graphicData>
        </a:graphic>
      </xdr:graphicFrame>
      <xdr:sp macro="" textlink="visualization!P7">
        <xdr:nvSpPr>
          <xdr:cNvPr id="93" name="TextBox 92">
            <a:extLst>
              <a:ext uri="{FF2B5EF4-FFF2-40B4-BE49-F238E27FC236}">
                <a16:creationId xmlns:a16="http://schemas.microsoft.com/office/drawing/2014/main" id="{00000000-0008-0000-0200-00005D000000}"/>
              </a:ext>
            </a:extLst>
          </xdr:cNvPr>
          <xdr:cNvSpPr txBox="1"/>
        </xdr:nvSpPr>
        <xdr:spPr>
          <a:xfrm>
            <a:off x="15963900"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67E2789-AE3F-4FF6-9DA0-C6EDFD01AB43}" type="TxLink">
              <a:rPr lang="en-US" sz="1600" b="1" i="0" u="none" strike="noStrike">
                <a:solidFill>
                  <a:srgbClr val="FF0000"/>
                </a:solidFill>
                <a:latin typeface="Calibri"/>
                <a:ea typeface="+mn-ea"/>
                <a:cs typeface="Consolas" panose="020B0609020204030204" pitchFamily="49" charset="0"/>
              </a:rPr>
              <a:pPr marL="0" indent="0" algn="ctr"/>
              <a:t>12%</a:t>
            </a:fld>
            <a:endParaRPr lang="en-US" sz="1600" b="1" i="0" u="none" strike="noStrike">
              <a:solidFill>
                <a:srgbClr val="FF0000"/>
              </a:solidFill>
              <a:latin typeface="Calibri"/>
              <a:ea typeface="+mn-ea"/>
              <a:cs typeface="Consolas" panose="020B0609020204030204" pitchFamily="49" charset="0"/>
            </a:endParaRPr>
          </a:p>
        </xdr:txBody>
      </xdr:sp>
      <xdr:sp macro="" textlink="">
        <xdr:nvSpPr>
          <xdr:cNvPr id="94" name="TextBox 93">
            <a:extLst>
              <a:ext uri="{FF2B5EF4-FFF2-40B4-BE49-F238E27FC236}">
                <a16:creationId xmlns:a16="http://schemas.microsoft.com/office/drawing/2014/main" id="{00000000-0008-0000-0200-00005E000000}"/>
              </a:ext>
            </a:extLst>
          </xdr:cNvPr>
          <xdr:cNvSpPr txBox="1"/>
        </xdr:nvSpPr>
        <xdr:spPr>
          <a:xfrm>
            <a:off x="16536946" y="9174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4</a:t>
            </a:r>
          </a:p>
        </xdr:txBody>
      </xdr:sp>
      <xdr:sp macro="" textlink="visualization!O7">
        <xdr:nvSpPr>
          <xdr:cNvPr id="95" name="TextBox 94">
            <a:extLst>
              <a:ext uri="{FF2B5EF4-FFF2-40B4-BE49-F238E27FC236}">
                <a16:creationId xmlns:a16="http://schemas.microsoft.com/office/drawing/2014/main" id="{00000000-0008-0000-0200-00005F000000}"/>
              </a:ext>
            </a:extLst>
          </xdr:cNvPr>
          <xdr:cNvSpPr txBox="1"/>
        </xdr:nvSpPr>
        <xdr:spPr>
          <a:xfrm>
            <a:off x="15944850" y="198120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51DD0B-5181-4177-8F89-6556132946EF}"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57510540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14</xdr:col>
      <xdr:colOff>484188</xdr:colOff>
      <xdr:row>28</xdr:row>
      <xdr:rowOff>31750</xdr:rowOff>
    </xdr:from>
    <xdr:to>
      <xdr:col>22</xdr:col>
      <xdr:colOff>39688</xdr:colOff>
      <xdr:row>36</xdr:row>
      <xdr:rowOff>126999</xdr:rowOff>
    </xdr:to>
    <xdr:grpSp>
      <xdr:nvGrpSpPr>
        <xdr:cNvPr id="96" name="Group 95">
          <a:extLst>
            <a:ext uri="{FF2B5EF4-FFF2-40B4-BE49-F238E27FC236}">
              <a16:creationId xmlns:a16="http://schemas.microsoft.com/office/drawing/2014/main" id="{00000000-0008-0000-0200-000060000000}"/>
            </a:ext>
          </a:extLst>
        </xdr:cNvPr>
        <xdr:cNvGrpSpPr/>
      </xdr:nvGrpSpPr>
      <xdr:grpSpPr>
        <a:xfrm>
          <a:off x="9018588" y="5152390"/>
          <a:ext cx="4432300" cy="1558289"/>
          <a:chOff x="2152650" y="5335975"/>
          <a:chExt cx="1619250" cy="1377175"/>
        </a:xfrm>
      </xdr:grpSpPr>
      <xdr:sp macro="" textlink="">
        <xdr:nvSpPr>
          <xdr:cNvPr id="97" name="Rounded Rectangle 170">
            <a:extLst>
              <a:ext uri="{FF2B5EF4-FFF2-40B4-BE49-F238E27FC236}">
                <a16:creationId xmlns:a16="http://schemas.microsoft.com/office/drawing/2014/main" id="{00000000-0008-0000-0200-000061000000}"/>
              </a:ext>
            </a:extLst>
          </xdr:cNvPr>
          <xdr:cNvSpPr/>
        </xdr:nvSpPr>
        <xdr:spPr>
          <a:xfrm>
            <a:off x="2152650" y="5419725"/>
            <a:ext cx="1600200" cy="1200150"/>
          </a:xfrm>
          <a:prstGeom prst="roundRect">
            <a:avLst>
              <a:gd name="adj" fmla="val 4763"/>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Rounded Rectangle 171">
            <a:extLst>
              <a:ext uri="{FF2B5EF4-FFF2-40B4-BE49-F238E27FC236}">
                <a16:creationId xmlns:a16="http://schemas.microsoft.com/office/drawing/2014/main" id="{00000000-0008-0000-0200-000062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178122</xdr:colOff>
      <xdr:row>5</xdr:row>
      <xdr:rowOff>1905</xdr:rowOff>
    </xdr:from>
    <xdr:to>
      <xdr:col>18</xdr:col>
      <xdr:colOff>0</xdr:colOff>
      <xdr:row>28</xdr:row>
      <xdr:rowOff>0</xdr:rowOff>
    </xdr:to>
    <xdr:grpSp>
      <xdr:nvGrpSpPr>
        <xdr:cNvPr id="99" name="Group 98">
          <a:extLst>
            <a:ext uri="{FF2B5EF4-FFF2-40B4-BE49-F238E27FC236}">
              <a16:creationId xmlns:a16="http://schemas.microsoft.com/office/drawing/2014/main" id="{00000000-0008-0000-0200-000063000000}"/>
            </a:ext>
          </a:extLst>
        </xdr:cNvPr>
        <xdr:cNvGrpSpPr/>
      </xdr:nvGrpSpPr>
      <xdr:grpSpPr>
        <a:xfrm>
          <a:off x="7493322" y="916305"/>
          <a:ext cx="3479478" cy="4204335"/>
          <a:chOff x="7353303" y="2638425"/>
          <a:chExt cx="3102994" cy="4083626"/>
        </a:xfrm>
      </xdr:grpSpPr>
      <xdr:grpSp>
        <xdr:nvGrpSpPr>
          <xdr:cNvPr id="100" name="Group 99">
            <a:extLst>
              <a:ext uri="{FF2B5EF4-FFF2-40B4-BE49-F238E27FC236}">
                <a16:creationId xmlns:a16="http://schemas.microsoft.com/office/drawing/2014/main" id="{00000000-0008-0000-0200-000064000000}"/>
              </a:ext>
            </a:extLst>
          </xdr:cNvPr>
          <xdr:cNvGrpSpPr/>
        </xdr:nvGrpSpPr>
        <xdr:grpSpPr>
          <a:xfrm>
            <a:off x="8644374" y="2877784"/>
            <a:ext cx="1057570" cy="3658728"/>
            <a:chOff x="9083021" y="2568466"/>
            <a:chExt cx="1058974" cy="3946496"/>
          </a:xfrm>
        </xdr:grpSpPr>
        <xdr:sp macro="" textlink="visualization!D453">
          <xdr:nvSpPr>
            <xdr:cNvPr id="102" name="TextBox 101">
              <a:extLst>
                <a:ext uri="{FF2B5EF4-FFF2-40B4-BE49-F238E27FC236}">
                  <a16:creationId xmlns:a16="http://schemas.microsoft.com/office/drawing/2014/main" id="{00000000-0008-0000-0200-000066000000}"/>
                </a:ext>
              </a:extLst>
            </xdr:cNvPr>
            <xdr:cNvSpPr txBox="1"/>
          </xdr:nvSpPr>
          <xdr:spPr>
            <a:xfrm>
              <a:off x="9150080" y="2568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17036A-6C4C-4FB0-AE1E-195F7919A220}" type="TxLink">
                <a:rPr lang="en-US" sz="900" b="0" i="0" u="none" strike="noStrike">
                  <a:solidFill>
                    <a:schemeClr val="bg1">
                      <a:lumMod val="50000"/>
                    </a:schemeClr>
                  </a:solidFill>
                  <a:latin typeface="Calibri"/>
                  <a:ea typeface="+mn-ea"/>
                  <a:cs typeface="+mn-cs"/>
                </a:rPr>
                <a:pPr marL="0" indent="0" algn="r"/>
                <a:t>Direct</a:t>
              </a:fld>
              <a:endParaRPr lang="en-US" sz="900" b="0" i="0" u="none" strike="noStrike">
                <a:solidFill>
                  <a:schemeClr val="bg1">
                    <a:lumMod val="50000"/>
                  </a:schemeClr>
                </a:solidFill>
                <a:latin typeface="Calibri"/>
                <a:ea typeface="+mn-ea"/>
                <a:cs typeface="+mn-cs"/>
              </a:endParaRPr>
            </a:p>
          </xdr:txBody>
        </xdr:sp>
        <xdr:sp macro="" textlink="visualization!D454">
          <xdr:nvSpPr>
            <xdr:cNvPr id="103" name="TextBox 102">
              <a:extLst>
                <a:ext uri="{FF2B5EF4-FFF2-40B4-BE49-F238E27FC236}">
                  <a16:creationId xmlns:a16="http://schemas.microsoft.com/office/drawing/2014/main" id="{00000000-0008-0000-0200-000067000000}"/>
                </a:ext>
              </a:extLst>
            </xdr:cNvPr>
            <xdr:cNvSpPr txBox="1"/>
          </xdr:nvSpPr>
          <xdr:spPr>
            <a:xfrm>
              <a:off x="9150080" y="2785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73C7E74-19F5-4CD0-AC6A-B47C8B726B68}" type="TxLink">
                <a:rPr lang="en-US" sz="900" b="0" i="0" u="none" strike="noStrike">
                  <a:solidFill>
                    <a:schemeClr val="bg1">
                      <a:lumMod val="50000"/>
                    </a:schemeClr>
                  </a:solidFill>
                  <a:latin typeface="Calibri"/>
                  <a:ea typeface="+mn-ea"/>
                  <a:cs typeface="+mn-cs"/>
                </a:rPr>
                <a:pPr marL="0" indent="0" algn="r"/>
                <a:t>Sontaxon</a:t>
              </a:fld>
              <a:endParaRPr lang="en-US" sz="900" b="0" i="0" u="none" strike="noStrike">
                <a:solidFill>
                  <a:schemeClr val="bg1">
                    <a:lumMod val="50000"/>
                  </a:schemeClr>
                </a:solidFill>
                <a:latin typeface="Calibri"/>
                <a:ea typeface="+mn-ea"/>
                <a:cs typeface="+mn-cs"/>
              </a:endParaRPr>
            </a:p>
          </xdr:txBody>
        </xdr:sp>
        <xdr:sp macro="" textlink="visualization!D455">
          <xdr:nvSpPr>
            <xdr:cNvPr id="104" name="TextBox 103">
              <a:extLst>
                <a:ext uri="{FF2B5EF4-FFF2-40B4-BE49-F238E27FC236}">
                  <a16:creationId xmlns:a16="http://schemas.microsoft.com/office/drawing/2014/main" id="{00000000-0008-0000-0200-000068000000}"/>
                </a:ext>
              </a:extLst>
            </xdr:cNvPr>
            <xdr:cNvSpPr txBox="1"/>
          </xdr:nvSpPr>
          <xdr:spPr>
            <a:xfrm>
              <a:off x="9150080" y="3015155"/>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78C3719-E553-4C5B-AF14-551BE604CECB}" type="TxLink">
                <a:rPr lang="en-US" sz="900" b="0" i="0" u="none" strike="noStrike">
                  <a:solidFill>
                    <a:schemeClr val="bg1">
                      <a:lumMod val="50000"/>
                    </a:schemeClr>
                  </a:solidFill>
                  <a:latin typeface="Calibri"/>
                  <a:ea typeface="+mn-ea"/>
                  <a:cs typeface="+mn-cs"/>
                </a:rPr>
                <a:pPr marL="0" indent="0" algn="r"/>
                <a:t>Joblamcon</a:t>
              </a:fld>
              <a:endParaRPr lang="en-US" sz="900" b="0" i="0" u="none" strike="noStrike">
                <a:solidFill>
                  <a:schemeClr val="bg1">
                    <a:lumMod val="50000"/>
                  </a:schemeClr>
                </a:solidFill>
                <a:latin typeface="Calibri"/>
                <a:ea typeface="+mn-ea"/>
                <a:cs typeface="+mn-cs"/>
              </a:endParaRPr>
            </a:p>
          </xdr:txBody>
        </xdr:sp>
        <xdr:sp macro="" textlink="visualization!D456">
          <xdr:nvSpPr>
            <xdr:cNvPr id="105" name="TextBox 104">
              <a:extLst>
                <a:ext uri="{FF2B5EF4-FFF2-40B4-BE49-F238E27FC236}">
                  <a16:creationId xmlns:a16="http://schemas.microsoft.com/office/drawing/2014/main" id="{00000000-0008-0000-0200-000069000000}"/>
                </a:ext>
              </a:extLst>
            </xdr:cNvPr>
            <xdr:cNvSpPr txBox="1"/>
          </xdr:nvSpPr>
          <xdr:spPr>
            <a:xfrm>
              <a:off x="9150080" y="324507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BC146F3-EDDF-4549-BC3F-4A06622541FE}" type="TxLink">
                <a:rPr lang="en-US" sz="900" b="0" i="0" u="none" strike="noStrike">
                  <a:solidFill>
                    <a:schemeClr val="bg1">
                      <a:lumMod val="50000"/>
                    </a:schemeClr>
                  </a:solidFill>
                  <a:latin typeface="Calibri"/>
                  <a:ea typeface="+mn-ea"/>
                  <a:cs typeface="+mn-cs"/>
                </a:rPr>
                <a:pPr marL="0" indent="0" algn="r"/>
                <a:t>Quadsoloace</a:t>
              </a:fld>
              <a:endParaRPr lang="en-US" sz="900" b="0" i="0" u="none" strike="noStrike">
                <a:solidFill>
                  <a:schemeClr val="bg1">
                    <a:lumMod val="50000"/>
                  </a:schemeClr>
                </a:solidFill>
                <a:latin typeface="Calibri"/>
                <a:ea typeface="+mn-ea"/>
                <a:cs typeface="+mn-cs"/>
              </a:endParaRPr>
            </a:p>
          </xdr:txBody>
        </xdr:sp>
        <xdr:sp macro="" textlink="visualization!D457">
          <xdr:nvSpPr>
            <xdr:cNvPr id="106" name="TextBox 105">
              <a:extLst>
                <a:ext uri="{FF2B5EF4-FFF2-40B4-BE49-F238E27FC236}">
                  <a16:creationId xmlns:a16="http://schemas.microsoft.com/office/drawing/2014/main" id="{00000000-0008-0000-0200-00006A000000}"/>
                </a:ext>
              </a:extLst>
            </xdr:cNvPr>
            <xdr:cNvSpPr txBox="1"/>
          </xdr:nvSpPr>
          <xdr:spPr>
            <a:xfrm>
              <a:off x="9150080" y="3481552"/>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FDA6255-5289-4495-B183-EAEFCF54CA65}" type="TxLink">
                <a:rPr lang="en-US" sz="900" b="0" i="0" u="none" strike="noStrike">
                  <a:solidFill>
                    <a:schemeClr val="bg1">
                      <a:lumMod val="50000"/>
                    </a:schemeClr>
                  </a:solidFill>
                  <a:latin typeface="Calibri"/>
                  <a:ea typeface="+mn-ea"/>
                  <a:cs typeface="+mn-cs"/>
                </a:rPr>
                <a:pPr marL="0" indent="0" algn="r"/>
                <a:t>Ventolane</a:t>
              </a:fld>
              <a:endParaRPr lang="en-US" sz="900" b="0" i="0" u="none" strike="noStrike">
                <a:solidFill>
                  <a:schemeClr val="bg1">
                    <a:lumMod val="50000"/>
                  </a:schemeClr>
                </a:solidFill>
                <a:latin typeface="Calibri"/>
                <a:ea typeface="+mn-ea"/>
                <a:cs typeface="+mn-cs"/>
              </a:endParaRPr>
            </a:p>
          </xdr:txBody>
        </xdr:sp>
        <xdr:sp macro="" textlink="visualization!D458">
          <xdr:nvSpPr>
            <xdr:cNvPr id="107" name="TextBox 106">
              <a:extLst>
                <a:ext uri="{FF2B5EF4-FFF2-40B4-BE49-F238E27FC236}">
                  <a16:creationId xmlns:a16="http://schemas.microsoft.com/office/drawing/2014/main" id="{00000000-0008-0000-0200-00006B000000}"/>
                </a:ext>
              </a:extLst>
            </xdr:cNvPr>
            <xdr:cNvSpPr txBox="1"/>
          </xdr:nvSpPr>
          <xdr:spPr>
            <a:xfrm>
              <a:off x="9150080" y="372460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A859A13-78F0-4015-94E7-94DF9C490F59}" type="TxLink">
                <a:rPr lang="en-US" sz="900" b="0" i="0" u="none" strike="noStrike">
                  <a:solidFill>
                    <a:schemeClr val="bg1">
                      <a:lumMod val="50000"/>
                    </a:schemeClr>
                  </a:solidFill>
                  <a:latin typeface="Calibri"/>
                  <a:ea typeface="+mn-ea"/>
                  <a:cs typeface="+mn-cs"/>
                </a:rPr>
                <a:pPr marL="0" indent="0" algn="r"/>
                <a:t>Drillelectronics</a:t>
              </a:fld>
              <a:endParaRPr lang="en-US" sz="900" b="0" i="0" u="none" strike="noStrike">
                <a:solidFill>
                  <a:schemeClr val="bg1">
                    <a:lumMod val="50000"/>
                  </a:schemeClr>
                </a:solidFill>
                <a:latin typeface="Calibri"/>
                <a:ea typeface="+mn-ea"/>
                <a:cs typeface="+mn-cs"/>
              </a:endParaRPr>
            </a:p>
          </xdr:txBody>
        </xdr:sp>
        <xdr:sp macro="" textlink="visualization!D459">
          <xdr:nvSpPr>
            <xdr:cNvPr id="108" name="TextBox 107">
              <a:extLst>
                <a:ext uri="{FF2B5EF4-FFF2-40B4-BE49-F238E27FC236}">
                  <a16:creationId xmlns:a16="http://schemas.microsoft.com/office/drawing/2014/main" id="{00000000-0008-0000-0200-00006C000000}"/>
                </a:ext>
              </a:extLst>
            </xdr:cNvPr>
            <xdr:cNvSpPr txBox="1"/>
          </xdr:nvSpPr>
          <xdr:spPr>
            <a:xfrm>
              <a:off x="9127726" y="39742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A69E92E-1A46-4126-B084-EA842BD1E170}" type="TxLink">
                <a:rPr lang="en-US" sz="900" b="0" i="0" u="none" strike="noStrike">
                  <a:solidFill>
                    <a:schemeClr val="bg1">
                      <a:lumMod val="50000"/>
                    </a:schemeClr>
                  </a:solidFill>
                  <a:latin typeface="Calibri"/>
                  <a:ea typeface="+mn-ea"/>
                  <a:cs typeface="+mn-cs"/>
                </a:rPr>
                <a:pPr marL="0" indent="0" algn="r"/>
                <a:t>Songreen</a:t>
              </a:fld>
              <a:endParaRPr lang="en-US" sz="900" b="0" i="0" u="none" strike="noStrike">
                <a:solidFill>
                  <a:schemeClr val="bg1">
                    <a:lumMod val="50000"/>
                  </a:schemeClr>
                </a:solidFill>
                <a:latin typeface="Calibri"/>
                <a:ea typeface="+mn-ea"/>
                <a:cs typeface="+mn-cs"/>
              </a:endParaRPr>
            </a:p>
          </xdr:txBody>
        </xdr:sp>
        <xdr:sp macro="" textlink="visualization!D460">
          <xdr:nvSpPr>
            <xdr:cNvPr id="109" name="TextBox 108">
              <a:extLst>
                <a:ext uri="{FF2B5EF4-FFF2-40B4-BE49-F238E27FC236}">
                  <a16:creationId xmlns:a16="http://schemas.microsoft.com/office/drawing/2014/main" id="{00000000-0008-0000-0200-00006D000000}"/>
                </a:ext>
              </a:extLst>
            </xdr:cNvPr>
            <xdr:cNvSpPr txBox="1"/>
          </xdr:nvSpPr>
          <xdr:spPr>
            <a:xfrm>
              <a:off x="9127726" y="4210707"/>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6D433DE-4039-47C1-A3C5-7C2AF8CF0BC9}" type="TxLink">
                <a:rPr lang="en-US" sz="900" b="0" i="0" u="none" strike="noStrike">
                  <a:solidFill>
                    <a:schemeClr val="bg1">
                      <a:lumMod val="50000"/>
                    </a:schemeClr>
                  </a:solidFill>
                  <a:latin typeface="Calibri"/>
                  <a:ea typeface="+mn-ea"/>
                  <a:cs typeface="+mn-cs"/>
                </a:rPr>
                <a:pPr marL="0" indent="0" algn="r"/>
                <a:t>Zoomtone</a:t>
              </a:fld>
              <a:endParaRPr lang="en-US" sz="900" b="0" i="0" u="none" strike="noStrike">
                <a:solidFill>
                  <a:schemeClr val="bg1">
                    <a:lumMod val="50000"/>
                  </a:schemeClr>
                </a:solidFill>
                <a:latin typeface="Calibri"/>
                <a:ea typeface="+mn-ea"/>
                <a:cs typeface="+mn-cs"/>
              </a:endParaRPr>
            </a:p>
          </xdr:txBody>
        </xdr:sp>
        <xdr:sp macro="" textlink="visualization!D461">
          <xdr:nvSpPr>
            <xdr:cNvPr id="110" name="TextBox 109">
              <a:extLst>
                <a:ext uri="{FF2B5EF4-FFF2-40B4-BE49-F238E27FC236}">
                  <a16:creationId xmlns:a16="http://schemas.microsoft.com/office/drawing/2014/main" id="{00000000-0008-0000-0200-00006E000000}"/>
                </a:ext>
              </a:extLst>
            </xdr:cNvPr>
            <xdr:cNvSpPr txBox="1"/>
          </xdr:nvSpPr>
          <xdr:spPr>
            <a:xfrm>
              <a:off x="9083021" y="445375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8391AA-6DF1-4372-894C-8B8FFAED6B9A}" type="TxLink">
                <a:rPr lang="en-US" sz="900" b="0" i="0" u="none" strike="noStrike">
                  <a:solidFill>
                    <a:schemeClr val="bg1">
                      <a:lumMod val="50000"/>
                    </a:schemeClr>
                  </a:solidFill>
                  <a:latin typeface="Calibri"/>
                  <a:ea typeface="+mn-ea"/>
                  <a:cs typeface="+mn-cs"/>
                </a:rPr>
                <a:pPr marL="0" indent="0" algn="r"/>
                <a:t>Movestreet</a:t>
              </a:fld>
              <a:endParaRPr lang="en-US" sz="900" b="0" i="0" u="none" strike="noStrike">
                <a:solidFill>
                  <a:schemeClr val="bg1">
                    <a:lumMod val="50000"/>
                  </a:schemeClr>
                </a:solidFill>
                <a:latin typeface="Calibri"/>
                <a:ea typeface="+mn-ea"/>
                <a:cs typeface="+mn-cs"/>
              </a:endParaRPr>
            </a:p>
          </xdr:txBody>
        </xdr:sp>
        <xdr:sp macro="" textlink="visualization!D462">
          <xdr:nvSpPr>
            <xdr:cNvPr id="111" name="TextBox 110">
              <a:extLst>
                <a:ext uri="{FF2B5EF4-FFF2-40B4-BE49-F238E27FC236}">
                  <a16:creationId xmlns:a16="http://schemas.microsoft.com/office/drawing/2014/main" id="{00000000-0008-0000-0200-00006F000000}"/>
                </a:ext>
              </a:extLst>
            </xdr:cNvPr>
            <xdr:cNvSpPr txBox="1"/>
          </xdr:nvSpPr>
          <xdr:spPr>
            <a:xfrm>
              <a:off x="9083021" y="4690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332521C-AF1B-4A19-92AC-021AB31C3124}" type="TxLink">
                <a:rPr lang="en-US" sz="900" b="0" i="0" u="none" strike="noStrike">
                  <a:solidFill>
                    <a:schemeClr val="bg1">
                      <a:lumMod val="50000"/>
                    </a:schemeClr>
                  </a:solidFill>
                  <a:latin typeface="Calibri"/>
                  <a:ea typeface="+mn-ea"/>
                  <a:cs typeface="+mn-cs"/>
                </a:rPr>
                <a:pPr marL="0" indent="0" algn="r"/>
                <a:t>Hotlam</a:t>
              </a:fld>
              <a:endParaRPr lang="en-US" sz="900" b="0" i="0" u="none" strike="noStrike">
                <a:solidFill>
                  <a:schemeClr val="bg1">
                    <a:lumMod val="50000"/>
                  </a:schemeClr>
                </a:solidFill>
                <a:latin typeface="Calibri"/>
                <a:ea typeface="+mn-ea"/>
                <a:cs typeface="+mn-cs"/>
              </a:endParaRPr>
            </a:p>
          </xdr:txBody>
        </xdr:sp>
        <xdr:sp macro="" textlink="visualization!D463">
          <xdr:nvSpPr>
            <xdr:cNvPr id="112" name="TextBox 111">
              <a:extLst>
                <a:ext uri="{FF2B5EF4-FFF2-40B4-BE49-F238E27FC236}">
                  <a16:creationId xmlns:a16="http://schemas.microsoft.com/office/drawing/2014/main" id="{00000000-0008-0000-0200-000070000000}"/>
                </a:ext>
              </a:extLst>
            </xdr:cNvPr>
            <xdr:cNvSpPr txBox="1"/>
          </xdr:nvSpPr>
          <xdr:spPr>
            <a:xfrm>
              <a:off x="9083021" y="49267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B76622A-8490-41A0-93ED-6DAA876F0FDD}" type="TxLink">
                <a:rPr lang="en-US" sz="900" b="0" i="0" u="none" strike="noStrike">
                  <a:solidFill>
                    <a:schemeClr val="bg1">
                      <a:lumMod val="50000"/>
                    </a:schemeClr>
                  </a:solidFill>
                  <a:latin typeface="Calibri"/>
                  <a:ea typeface="+mn-ea"/>
                  <a:cs typeface="+mn-cs"/>
                </a:rPr>
                <a:pPr marL="0" indent="0" algn="r"/>
                <a:t>Is-technology</a:t>
              </a:fld>
              <a:endParaRPr lang="en-US" sz="900" b="0" i="0" u="none" strike="noStrike">
                <a:solidFill>
                  <a:schemeClr val="bg1">
                    <a:lumMod val="50000"/>
                  </a:schemeClr>
                </a:solidFill>
                <a:latin typeface="Calibri"/>
                <a:ea typeface="+mn-ea"/>
                <a:cs typeface="+mn-cs"/>
              </a:endParaRPr>
            </a:p>
          </xdr:txBody>
        </xdr:sp>
        <xdr:sp macro="" textlink="visualization!D464">
          <xdr:nvSpPr>
            <xdr:cNvPr id="113" name="TextBox 112">
              <a:extLst>
                <a:ext uri="{FF2B5EF4-FFF2-40B4-BE49-F238E27FC236}">
                  <a16:creationId xmlns:a16="http://schemas.microsoft.com/office/drawing/2014/main" id="{00000000-0008-0000-0200-000071000000}"/>
                </a:ext>
              </a:extLst>
            </xdr:cNvPr>
            <xdr:cNvSpPr txBox="1"/>
          </xdr:nvSpPr>
          <xdr:spPr>
            <a:xfrm>
              <a:off x="9090470" y="515663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A8DFC51-6540-4482-8284-EA3383E6173C}" type="TxLink">
                <a:rPr lang="en-US" sz="900" b="0" i="0" u="none" strike="noStrike">
                  <a:solidFill>
                    <a:schemeClr val="bg1">
                      <a:lumMod val="50000"/>
                    </a:schemeClr>
                  </a:solidFill>
                  <a:latin typeface="Calibri"/>
                  <a:ea typeface="+mn-ea"/>
                  <a:cs typeface="+mn-cs"/>
                </a:rPr>
                <a:pPr marL="0" indent="0" algn="r"/>
                <a:t>Quadtex</a:t>
              </a:fld>
              <a:endParaRPr lang="en-US" sz="900" b="0" i="0" u="none" strike="noStrike">
                <a:solidFill>
                  <a:schemeClr val="bg1">
                    <a:lumMod val="50000"/>
                  </a:schemeClr>
                </a:solidFill>
                <a:latin typeface="Calibri"/>
                <a:ea typeface="+mn-ea"/>
                <a:cs typeface="+mn-cs"/>
              </a:endParaRPr>
            </a:p>
          </xdr:txBody>
        </xdr:sp>
        <xdr:sp macro="" textlink="visualization!D465">
          <xdr:nvSpPr>
            <xdr:cNvPr id="114" name="TextBox 113">
              <a:extLst>
                <a:ext uri="{FF2B5EF4-FFF2-40B4-BE49-F238E27FC236}">
                  <a16:creationId xmlns:a16="http://schemas.microsoft.com/office/drawing/2014/main" id="{00000000-0008-0000-0200-000072000000}"/>
                </a:ext>
              </a:extLst>
            </xdr:cNvPr>
            <xdr:cNvSpPr txBox="1"/>
          </xdr:nvSpPr>
          <xdr:spPr>
            <a:xfrm>
              <a:off x="9090470" y="537998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096A332-1977-47CF-9C89-A820F45E06D6}" type="TxLink">
                <a:rPr lang="en-US" sz="900" b="0" i="0" u="none" strike="noStrike">
                  <a:solidFill>
                    <a:schemeClr val="bg1">
                      <a:lumMod val="50000"/>
                    </a:schemeClr>
                  </a:solidFill>
                  <a:latin typeface="Calibri"/>
                  <a:ea typeface="+mn-ea"/>
                  <a:cs typeface="+mn-cs"/>
                </a:rPr>
                <a:pPr marL="0" indent="0" algn="r"/>
                <a:t>Nimdax</a:t>
              </a:fld>
              <a:endParaRPr lang="en-US" sz="900" b="0" i="0" u="none" strike="noStrike">
                <a:solidFill>
                  <a:schemeClr val="bg1">
                    <a:lumMod val="50000"/>
                  </a:schemeClr>
                </a:solidFill>
                <a:latin typeface="Calibri"/>
                <a:ea typeface="+mn-ea"/>
                <a:cs typeface="+mn-cs"/>
              </a:endParaRPr>
            </a:p>
          </xdr:txBody>
        </xdr:sp>
        <xdr:sp macro="" textlink="visualization!D466">
          <xdr:nvSpPr>
            <xdr:cNvPr id="115" name="TextBox 114">
              <a:extLst>
                <a:ext uri="{FF2B5EF4-FFF2-40B4-BE49-F238E27FC236}">
                  <a16:creationId xmlns:a16="http://schemas.microsoft.com/office/drawing/2014/main" id="{00000000-0008-0000-0200-000073000000}"/>
                </a:ext>
              </a:extLst>
            </xdr:cNvPr>
            <xdr:cNvSpPr txBox="1"/>
          </xdr:nvSpPr>
          <xdr:spPr>
            <a:xfrm>
              <a:off x="9090470" y="5616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90E6A4C-31E5-4182-948B-C408F6401998}" type="TxLink">
                <a:rPr lang="en-US" sz="900" b="0" i="0" u="none" strike="noStrike">
                  <a:solidFill>
                    <a:schemeClr val="bg1">
                      <a:lumMod val="50000"/>
                    </a:schemeClr>
                  </a:solidFill>
                  <a:latin typeface="Calibri"/>
                  <a:ea typeface="+mn-ea"/>
                  <a:cs typeface="+mn-cs"/>
                </a:rPr>
                <a:pPr marL="0" indent="0" algn="r"/>
                <a:t>Indiity</a:t>
              </a:fld>
              <a:endParaRPr lang="en-US" sz="900" b="0" i="0" u="none" strike="noStrike">
                <a:solidFill>
                  <a:schemeClr val="bg1">
                    <a:lumMod val="50000"/>
                  </a:schemeClr>
                </a:solidFill>
                <a:latin typeface="Calibri"/>
                <a:ea typeface="+mn-ea"/>
                <a:cs typeface="+mn-cs"/>
              </a:endParaRPr>
            </a:p>
          </xdr:txBody>
        </xdr:sp>
        <xdr:sp macro="" textlink="visualization!D467">
          <xdr:nvSpPr>
            <xdr:cNvPr id="116" name="TextBox 115">
              <a:extLst>
                <a:ext uri="{FF2B5EF4-FFF2-40B4-BE49-F238E27FC236}">
                  <a16:creationId xmlns:a16="http://schemas.microsoft.com/office/drawing/2014/main" id="{00000000-0008-0000-0200-000074000000}"/>
                </a:ext>
              </a:extLst>
            </xdr:cNvPr>
            <xdr:cNvSpPr txBox="1"/>
          </xdr:nvSpPr>
          <xdr:spPr>
            <a:xfrm>
              <a:off x="9097924" y="5852947"/>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C833639-40F9-423C-99F7-1FA2B614D484}" type="TxLink">
                <a:rPr lang="en-US" sz="900" b="0" i="0" u="none" strike="noStrike">
                  <a:solidFill>
                    <a:schemeClr val="bg1">
                      <a:lumMod val="50000"/>
                    </a:schemeClr>
                  </a:solidFill>
                  <a:latin typeface="Calibri"/>
                  <a:ea typeface="+mn-ea"/>
                  <a:cs typeface="+mn-cs"/>
                </a:rPr>
                <a:pPr marL="0" indent="0" algn="r"/>
                <a:t>Free-electronics</a:t>
              </a:fld>
              <a:endParaRPr lang="en-US" sz="900" b="0" i="0" u="none" strike="noStrike">
                <a:solidFill>
                  <a:schemeClr val="bg1">
                    <a:lumMod val="50000"/>
                  </a:schemeClr>
                </a:solidFill>
                <a:latin typeface="Calibri"/>
                <a:ea typeface="+mn-ea"/>
                <a:cs typeface="+mn-cs"/>
              </a:endParaRPr>
            </a:p>
          </xdr:txBody>
        </xdr:sp>
        <xdr:sp macro="" textlink="visualization!D468">
          <xdr:nvSpPr>
            <xdr:cNvPr id="117" name="TextBox 116">
              <a:extLst>
                <a:ext uri="{FF2B5EF4-FFF2-40B4-BE49-F238E27FC236}">
                  <a16:creationId xmlns:a16="http://schemas.microsoft.com/office/drawing/2014/main" id="{00000000-0008-0000-0200-000075000000}"/>
                </a:ext>
              </a:extLst>
            </xdr:cNvPr>
            <xdr:cNvSpPr txBox="1"/>
          </xdr:nvSpPr>
          <xdr:spPr>
            <a:xfrm>
              <a:off x="9105375" y="609600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938CE07-15A9-4901-BAA8-4DD833FDB7D0}" type="TxLink">
                <a:rPr lang="en-US" sz="900" b="0" i="0" u="none" strike="noStrike">
                  <a:solidFill>
                    <a:schemeClr val="bg1">
                      <a:lumMod val="50000"/>
                    </a:schemeClr>
                  </a:solidFill>
                  <a:latin typeface="Calibri"/>
                  <a:ea typeface="+mn-ea"/>
                  <a:cs typeface="+mn-cs"/>
                </a:rPr>
                <a:pPr marL="0" indent="0" algn="r"/>
                <a:t>Zaamphase</a:t>
              </a:fld>
              <a:endParaRPr lang="en-US" sz="900" b="0" i="0" u="none" strike="noStrike">
                <a:solidFill>
                  <a:schemeClr val="bg1">
                    <a:lumMod val="50000"/>
                  </a:schemeClr>
                </a:solidFill>
                <a:latin typeface="Calibri"/>
                <a:ea typeface="+mn-ea"/>
                <a:cs typeface="+mn-cs"/>
              </a:endParaRPr>
            </a:p>
          </xdr:txBody>
        </xdr:sp>
        <xdr:sp macro="" textlink="visualization!D469">
          <xdr:nvSpPr>
            <xdr:cNvPr id="118" name="TextBox 117">
              <a:extLst>
                <a:ext uri="{FF2B5EF4-FFF2-40B4-BE49-F238E27FC236}">
                  <a16:creationId xmlns:a16="http://schemas.microsoft.com/office/drawing/2014/main" id="{00000000-0008-0000-0200-000076000000}"/>
                </a:ext>
              </a:extLst>
            </xdr:cNvPr>
            <xdr:cNvSpPr txBox="1"/>
          </xdr:nvSpPr>
          <xdr:spPr>
            <a:xfrm>
              <a:off x="9150082" y="631789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42A637-D091-4CF8-8B0A-B68DF19D8FF7}" type="TxLink">
                <a:rPr lang="en-US" sz="900" b="0" i="0" u="none" strike="noStrike">
                  <a:solidFill>
                    <a:schemeClr val="bg1">
                      <a:lumMod val="50000"/>
                    </a:schemeClr>
                  </a:solidFill>
                  <a:latin typeface="Calibri"/>
                  <a:ea typeface="+mn-ea"/>
                  <a:cs typeface="+mn-cs"/>
                </a:rPr>
                <a:pPr algn="r"/>
                <a:t>Flexzim</a:t>
              </a:fld>
              <a:endParaRPr lang="en-US" sz="900" b="0" i="0" u="none" strike="noStrike">
                <a:solidFill>
                  <a:schemeClr val="bg1">
                    <a:lumMod val="50000"/>
                  </a:schemeClr>
                </a:solidFill>
                <a:latin typeface="Calibri"/>
                <a:ea typeface="+mn-ea"/>
                <a:cs typeface="+mn-cs"/>
              </a:endParaRPr>
            </a:p>
          </xdr:txBody>
        </xdr:sp>
      </xdr:grpSp>
      <xdr:graphicFrame macro="">
        <xdr:nvGraphicFramePr>
          <xdr:cNvPr id="101" name="Chart 100">
            <a:extLst>
              <a:ext uri="{FF2B5EF4-FFF2-40B4-BE49-F238E27FC236}">
                <a16:creationId xmlns:a16="http://schemas.microsoft.com/office/drawing/2014/main" id="{00000000-0008-0000-0200-000065000000}"/>
              </a:ext>
            </a:extLst>
          </xdr:cNvPr>
          <xdr:cNvGraphicFramePr>
            <a:graphicFrameLocks/>
          </xdr:cNvGraphicFramePr>
        </xdr:nvGraphicFramePr>
        <xdr:xfrm>
          <a:off x="7353303" y="2638425"/>
          <a:ext cx="3102994" cy="4083626"/>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16</xdr:col>
      <xdr:colOff>453390</xdr:colOff>
      <xdr:row>3</xdr:row>
      <xdr:rowOff>1</xdr:rowOff>
    </xdr:from>
    <xdr:to>
      <xdr:col>21</xdr:col>
      <xdr:colOff>559743</xdr:colOff>
      <xdr:row>13</xdr:row>
      <xdr:rowOff>125911</xdr:rowOff>
    </xdr:to>
    <xdr:sp macro="" textlink="">
      <xdr:nvSpPr>
        <xdr:cNvPr id="119" name="Rounded Rectangle 203">
          <a:extLst>
            <a:ext uri="{FF2B5EF4-FFF2-40B4-BE49-F238E27FC236}">
              <a16:creationId xmlns:a16="http://schemas.microsoft.com/office/drawing/2014/main" id="{00000000-0008-0000-0200-000077000000}"/>
            </a:ext>
          </a:extLst>
        </xdr:cNvPr>
        <xdr:cNvSpPr/>
      </xdr:nvSpPr>
      <xdr:spPr>
        <a:xfrm>
          <a:off x="10206990" y="537883"/>
          <a:ext cx="3154353" cy="1918852"/>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483832</xdr:colOff>
      <xdr:row>19</xdr:row>
      <xdr:rowOff>72181</xdr:rowOff>
    </xdr:from>
    <xdr:to>
      <xdr:col>19</xdr:col>
      <xdr:colOff>412375</xdr:colOff>
      <xdr:row>21</xdr:row>
      <xdr:rowOff>8965</xdr:rowOff>
    </xdr:to>
    <xdr:sp macro="" textlink="">
      <xdr:nvSpPr>
        <xdr:cNvPr id="120" name="Rounded Rectangle 14">
          <a:extLst>
            <a:ext uri="{FF2B5EF4-FFF2-40B4-BE49-F238E27FC236}">
              <a16:creationId xmlns:a16="http://schemas.microsoft.com/office/drawing/2014/main" id="{00000000-0008-0000-0200-000078000000}"/>
            </a:ext>
          </a:extLst>
        </xdr:cNvPr>
        <xdr:cNvSpPr/>
      </xdr:nvSpPr>
      <xdr:spPr>
        <a:xfrm>
          <a:off x="10237432" y="3546901"/>
          <a:ext cx="1757343" cy="302544"/>
        </a:xfrm>
        <a:prstGeom prst="roundRect">
          <a:avLst>
            <a:gd name="adj" fmla="val 0"/>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t>Products Colour lables</a:t>
          </a:r>
        </a:p>
      </xdr:txBody>
    </xdr:sp>
    <xdr:clientData/>
  </xdr:twoCellAnchor>
  <xdr:twoCellAnchor>
    <xdr:from>
      <xdr:col>3</xdr:col>
      <xdr:colOff>510540</xdr:colOff>
      <xdr:row>28</xdr:row>
      <xdr:rowOff>95251</xdr:rowOff>
    </xdr:from>
    <xdr:to>
      <xdr:col>6</xdr:col>
      <xdr:colOff>241933</xdr:colOff>
      <xdr:row>35</xdr:row>
      <xdr:rowOff>76201</xdr:rowOff>
    </xdr:to>
    <xdr:grpSp>
      <xdr:nvGrpSpPr>
        <xdr:cNvPr id="121" name="Group 120">
          <a:extLst>
            <a:ext uri="{FF2B5EF4-FFF2-40B4-BE49-F238E27FC236}">
              <a16:creationId xmlns:a16="http://schemas.microsoft.com/office/drawing/2014/main" id="{00000000-0008-0000-0200-000079000000}"/>
            </a:ext>
          </a:extLst>
        </xdr:cNvPr>
        <xdr:cNvGrpSpPr/>
      </xdr:nvGrpSpPr>
      <xdr:grpSpPr>
        <a:xfrm>
          <a:off x="2339340" y="5215891"/>
          <a:ext cx="1560193" cy="1261110"/>
          <a:chOff x="9839327" y="2305051"/>
          <a:chExt cx="1514473" cy="1314450"/>
        </a:xfrm>
      </xdr:grpSpPr>
      <xdr:sp macro="" textlink="">
        <xdr:nvSpPr>
          <xdr:cNvPr id="122" name="Oval 121">
            <a:extLst>
              <a:ext uri="{FF2B5EF4-FFF2-40B4-BE49-F238E27FC236}">
                <a16:creationId xmlns:a16="http://schemas.microsoft.com/office/drawing/2014/main" id="{00000000-0008-0000-0200-00007A000000}"/>
              </a:ext>
            </a:extLst>
          </xdr:cNvPr>
          <xdr:cNvSpPr/>
        </xdr:nvSpPr>
        <xdr:spPr>
          <a:xfrm>
            <a:off x="10067925" y="2552701"/>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23" name="Chart 122">
            <a:extLst>
              <a:ext uri="{FF2B5EF4-FFF2-40B4-BE49-F238E27FC236}">
                <a16:creationId xmlns:a16="http://schemas.microsoft.com/office/drawing/2014/main" id="{00000000-0008-0000-0200-00007B000000}"/>
              </a:ext>
            </a:extLst>
          </xdr:cNvPr>
          <xdr:cNvGraphicFramePr>
            <a:graphicFrameLocks/>
          </xdr:cNvGraphicFramePr>
        </xdr:nvGraphicFramePr>
        <xdr:xfrm>
          <a:off x="9839327" y="2428877"/>
          <a:ext cx="1190624" cy="971549"/>
        </xdr:xfrm>
        <a:graphic>
          <a:graphicData uri="http://schemas.openxmlformats.org/drawingml/2006/chart">
            <c:chart xmlns:c="http://schemas.openxmlformats.org/drawingml/2006/chart" xmlns:r="http://schemas.openxmlformats.org/officeDocument/2006/relationships" r:id="rId10"/>
          </a:graphicData>
        </a:graphic>
      </xdr:graphicFrame>
      <xdr:sp macro="" textlink="visualization!P4">
        <xdr:nvSpPr>
          <xdr:cNvPr id="124" name="TextBox 123">
            <a:extLst>
              <a:ext uri="{FF2B5EF4-FFF2-40B4-BE49-F238E27FC236}">
                <a16:creationId xmlns:a16="http://schemas.microsoft.com/office/drawing/2014/main" id="{00000000-0008-0000-0200-00007C000000}"/>
              </a:ext>
            </a:extLst>
          </xdr:cNvPr>
          <xdr:cNvSpPr txBox="1"/>
        </xdr:nvSpPr>
        <xdr:spPr>
          <a:xfrm>
            <a:off x="9915525" y="27622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A59CD3-5EF7-4022-A017-4E91DE03AD34}" type="TxLink">
              <a:rPr lang="en-US" sz="1600" b="1" i="0" u="none" strike="noStrike">
                <a:solidFill>
                  <a:srgbClr val="C1121F"/>
                </a:solidFill>
                <a:latin typeface="Calibri"/>
                <a:ea typeface="+mn-ea"/>
                <a:cs typeface="Consolas" panose="020B0609020204030204" pitchFamily="49" charset="0"/>
              </a:rPr>
              <a:pPr marL="0" indent="0" algn="ctr"/>
              <a:t>44%</a:t>
            </a:fld>
            <a:endParaRPr lang="en-US" sz="1600" b="1" i="0" u="none" strike="noStrike">
              <a:solidFill>
                <a:srgbClr val="C1121F"/>
              </a:solidFill>
              <a:latin typeface="Calibri"/>
              <a:ea typeface="+mn-ea"/>
              <a:cs typeface="Consolas" panose="020B0609020204030204" pitchFamily="49" charset="0"/>
            </a:endParaRPr>
          </a:p>
        </xdr:txBody>
      </xdr:sp>
      <xdr:sp macro="" textlink="">
        <xdr:nvSpPr>
          <xdr:cNvPr id="125" name="TextBox 124">
            <a:extLst>
              <a:ext uri="{FF2B5EF4-FFF2-40B4-BE49-F238E27FC236}">
                <a16:creationId xmlns:a16="http://schemas.microsoft.com/office/drawing/2014/main" id="{00000000-0008-0000-0200-00007D000000}"/>
              </a:ext>
            </a:extLst>
          </xdr:cNvPr>
          <xdr:cNvSpPr txBox="1"/>
        </xdr:nvSpPr>
        <xdr:spPr>
          <a:xfrm>
            <a:off x="10563225" y="230505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1</a:t>
            </a:r>
          </a:p>
        </xdr:txBody>
      </xdr:sp>
      <xdr:sp macro="" textlink="visualization!O4">
        <xdr:nvSpPr>
          <xdr:cNvPr id="126" name="TextBox 125">
            <a:extLst>
              <a:ext uri="{FF2B5EF4-FFF2-40B4-BE49-F238E27FC236}">
                <a16:creationId xmlns:a16="http://schemas.microsoft.com/office/drawing/2014/main" id="{00000000-0008-0000-0200-00007E000000}"/>
              </a:ext>
            </a:extLst>
          </xdr:cNvPr>
          <xdr:cNvSpPr txBox="1"/>
        </xdr:nvSpPr>
        <xdr:spPr>
          <a:xfrm>
            <a:off x="9848850" y="3228976"/>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9C8001-514C-43FB-B5C9-2481C2099CB7}"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204495830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6</xdr:col>
      <xdr:colOff>480060</xdr:colOff>
      <xdr:row>28</xdr:row>
      <xdr:rowOff>104776</xdr:rowOff>
    </xdr:from>
    <xdr:to>
      <xdr:col>9</xdr:col>
      <xdr:colOff>201928</xdr:colOff>
      <xdr:row>35</xdr:row>
      <xdr:rowOff>95251</xdr:rowOff>
    </xdr:to>
    <xdr:grpSp>
      <xdr:nvGrpSpPr>
        <xdr:cNvPr id="127" name="Group 126">
          <a:extLst>
            <a:ext uri="{FF2B5EF4-FFF2-40B4-BE49-F238E27FC236}">
              <a16:creationId xmlns:a16="http://schemas.microsoft.com/office/drawing/2014/main" id="{00000000-0008-0000-0200-00007F000000}"/>
            </a:ext>
          </a:extLst>
        </xdr:cNvPr>
        <xdr:cNvGrpSpPr/>
      </xdr:nvGrpSpPr>
      <xdr:grpSpPr>
        <a:xfrm>
          <a:off x="4137660" y="5225416"/>
          <a:ext cx="1550668" cy="1270635"/>
          <a:chOff x="13763627" y="1028701"/>
          <a:chExt cx="1504948" cy="1323975"/>
        </a:xfrm>
      </xdr:grpSpPr>
      <xdr:sp macro="" textlink="">
        <xdr:nvSpPr>
          <xdr:cNvPr id="128" name="Oval 127">
            <a:extLst>
              <a:ext uri="{FF2B5EF4-FFF2-40B4-BE49-F238E27FC236}">
                <a16:creationId xmlns:a16="http://schemas.microsoft.com/office/drawing/2014/main" id="{00000000-0008-0000-0200-000080000000}"/>
              </a:ext>
            </a:extLst>
          </xdr:cNvPr>
          <xdr:cNvSpPr/>
        </xdr:nvSpPr>
        <xdr:spPr>
          <a:xfrm>
            <a:off x="1399222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29" name="Chart 128">
            <a:extLst>
              <a:ext uri="{FF2B5EF4-FFF2-40B4-BE49-F238E27FC236}">
                <a16:creationId xmlns:a16="http://schemas.microsoft.com/office/drawing/2014/main" id="{00000000-0008-0000-0200-000081000000}"/>
              </a:ext>
            </a:extLst>
          </xdr:cNvPr>
          <xdr:cNvGraphicFramePr>
            <a:graphicFrameLocks/>
          </xdr:cNvGraphicFramePr>
        </xdr:nvGraphicFramePr>
        <xdr:xfrm>
          <a:off x="13763627" y="1162052"/>
          <a:ext cx="1190624" cy="971549"/>
        </xdr:xfrm>
        <a:graphic>
          <a:graphicData uri="http://schemas.openxmlformats.org/drawingml/2006/chart">
            <c:chart xmlns:c="http://schemas.openxmlformats.org/drawingml/2006/chart" xmlns:r="http://schemas.openxmlformats.org/officeDocument/2006/relationships" r:id="rId11"/>
          </a:graphicData>
        </a:graphic>
      </xdr:graphicFrame>
      <xdr:sp macro="" textlink="visualization!P5">
        <xdr:nvSpPr>
          <xdr:cNvPr id="130" name="TextBox 129">
            <a:extLst>
              <a:ext uri="{FF2B5EF4-FFF2-40B4-BE49-F238E27FC236}">
                <a16:creationId xmlns:a16="http://schemas.microsoft.com/office/drawing/2014/main" id="{00000000-0008-0000-0200-000082000000}"/>
              </a:ext>
            </a:extLst>
          </xdr:cNvPr>
          <xdr:cNvSpPr txBox="1"/>
        </xdr:nvSpPr>
        <xdr:spPr>
          <a:xfrm>
            <a:off x="13839825"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1FD9E6E-F679-4B1F-92D4-644AEE1D1F09}" type="TxLink">
              <a:rPr lang="en-US" sz="1600" b="1" i="0" u="none" strike="noStrike">
                <a:solidFill>
                  <a:srgbClr val="C1121F"/>
                </a:solidFill>
                <a:latin typeface="Calibri"/>
                <a:ea typeface="+mn-ea"/>
                <a:cs typeface="Consolas" panose="020B0609020204030204" pitchFamily="49" charset="0"/>
              </a:rPr>
              <a:pPr marL="0" indent="0" algn="ctr"/>
              <a:t>29%</a:t>
            </a:fld>
            <a:endParaRPr lang="en-US" sz="1600" b="1" i="0" u="none" strike="noStrike">
              <a:solidFill>
                <a:srgbClr val="C1121F"/>
              </a:solidFill>
              <a:latin typeface="Calibri"/>
              <a:ea typeface="+mn-ea"/>
              <a:cs typeface="Consolas" panose="020B0609020204030204" pitchFamily="49" charset="0"/>
            </a:endParaRPr>
          </a:p>
        </xdr:txBody>
      </xdr:sp>
      <xdr:sp macro="" textlink="">
        <xdr:nvSpPr>
          <xdr:cNvPr id="131" name="TextBox 130">
            <a:extLst>
              <a:ext uri="{FF2B5EF4-FFF2-40B4-BE49-F238E27FC236}">
                <a16:creationId xmlns:a16="http://schemas.microsoft.com/office/drawing/2014/main" id="{00000000-0008-0000-0200-000083000000}"/>
              </a:ext>
            </a:extLst>
          </xdr:cNvPr>
          <xdr:cNvSpPr txBox="1"/>
        </xdr:nvSpPr>
        <xdr:spPr>
          <a:xfrm>
            <a:off x="14478000" y="102870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2</a:t>
            </a:r>
          </a:p>
        </xdr:txBody>
      </xdr:sp>
      <xdr:sp macro="" textlink="visualization!O5">
        <xdr:nvSpPr>
          <xdr:cNvPr id="132" name="TextBox 131">
            <a:extLst>
              <a:ext uri="{FF2B5EF4-FFF2-40B4-BE49-F238E27FC236}">
                <a16:creationId xmlns:a16="http://schemas.microsoft.com/office/drawing/2014/main" id="{00000000-0008-0000-0200-000084000000}"/>
              </a:ext>
            </a:extLst>
          </xdr:cNvPr>
          <xdr:cNvSpPr txBox="1"/>
        </xdr:nvSpPr>
        <xdr:spPr>
          <a:xfrm>
            <a:off x="1380172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BF72A7-B913-40CF-A513-0AE0445E3D40}"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133976999</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16</xdr:col>
      <xdr:colOff>430306</xdr:colOff>
      <xdr:row>3</xdr:row>
      <xdr:rowOff>152400</xdr:rowOff>
    </xdr:from>
    <xdr:to>
      <xdr:col>21</xdr:col>
      <xdr:colOff>528918</xdr:colOff>
      <xdr:row>13</xdr:row>
      <xdr:rowOff>89647</xdr:rowOff>
    </xdr:to>
    <mc:AlternateContent xmlns:mc="http://schemas.openxmlformats.org/markup-compatibility/2006">
      <mc:Choice xmlns:cx1="http://schemas.microsoft.com/office/drawing/2015/9/8/chartex" Requires="cx1">
        <xdr:graphicFrame macro="">
          <xdr:nvGraphicFramePr>
            <xdr:cNvPr id="133" name="Chart 132">
              <a:extLst>
                <a:ext uri="{FF2B5EF4-FFF2-40B4-BE49-F238E27FC236}">
                  <a16:creationId xmlns:a16="http://schemas.microsoft.com/office/drawing/2014/main" id="{00000000-0008-0000-0200-00008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0183906" y="701040"/>
              <a:ext cx="3146612" cy="176604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427617</xdr:colOff>
      <xdr:row>2</xdr:row>
      <xdr:rowOff>144555</xdr:rowOff>
    </xdr:from>
    <xdr:to>
      <xdr:col>19</xdr:col>
      <xdr:colOff>242047</xdr:colOff>
      <xdr:row>4</xdr:row>
      <xdr:rowOff>107576</xdr:rowOff>
    </xdr:to>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0181217" y="510315"/>
          <a:ext cx="1643230" cy="328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Opportunity analysis</a:t>
          </a:r>
        </a:p>
      </xdr:txBody>
    </xdr:sp>
    <xdr:clientData/>
  </xdr:twoCellAnchor>
  <xdr:twoCellAnchor>
    <xdr:from>
      <xdr:col>16</xdr:col>
      <xdr:colOff>83503</xdr:colOff>
      <xdr:row>28</xdr:row>
      <xdr:rowOff>3175</xdr:rowOff>
    </xdr:from>
    <xdr:to>
      <xdr:col>17</xdr:col>
      <xdr:colOff>214630</xdr:colOff>
      <xdr:row>29</xdr:row>
      <xdr:rowOff>117475</xdr:rowOff>
    </xdr:to>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9837103" y="5123815"/>
          <a:ext cx="740727"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Products</a:t>
          </a:r>
        </a:p>
      </xdr:txBody>
    </xdr:sp>
    <xdr:clientData/>
  </xdr:twoCellAnchor>
  <xdr:twoCellAnchor>
    <xdr:from>
      <xdr:col>11</xdr:col>
      <xdr:colOff>510540</xdr:colOff>
      <xdr:row>2</xdr:row>
      <xdr:rowOff>180975</xdr:rowOff>
    </xdr:from>
    <xdr:to>
      <xdr:col>15</xdr:col>
      <xdr:colOff>247650</xdr:colOff>
      <xdr:row>4</xdr:row>
      <xdr:rowOff>104775</xdr:rowOff>
    </xdr:to>
    <xdr:sp macro="" textlink="">
      <xdr:nvSpPr>
        <xdr:cNvPr id="136" name="TextBox 135">
          <a:extLst>
            <a:ext uri="{FF2B5EF4-FFF2-40B4-BE49-F238E27FC236}">
              <a16:creationId xmlns:a16="http://schemas.microsoft.com/office/drawing/2014/main" id="{00000000-0008-0000-0200-000088000000}"/>
            </a:ext>
          </a:extLst>
        </xdr:cNvPr>
        <xdr:cNvSpPr txBox="1"/>
      </xdr:nvSpPr>
      <xdr:spPr>
        <a:xfrm>
          <a:off x="7216140" y="546735"/>
          <a:ext cx="217551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Relationship Manager</a:t>
          </a:r>
        </a:p>
      </xdr:txBody>
    </xdr:sp>
    <xdr:clientData/>
  </xdr:twoCellAnchor>
  <xdr:twoCellAnchor>
    <xdr:from>
      <xdr:col>14</xdr:col>
      <xdr:colOff>586152</xdr:colOff>
      <xdr:row>29</xdr:row>
      <xdr:rowOff>23447</xdr:rowOff>
    </xdr:from>
    <xdr:to>
      <xdr:col>22</xdr:col>
      <xdr:colOff>556845</xdr:colOff>
      <xdr:row>36</xdr:row>
      <xdr:rowOff>111369</xdr:rowOff>
    </xdr:to>
    <xdr:graphicFrame macro="">
      <xdr:nvGraphicFramePr>
        <xdr:cNvPr id="137" name="Chart 136">
          <a:extLst>
            <a:ext uri="{FF2B5EF4-FFF2-40B4-BE49-F238E27FC236}">
              <a16:creationId xmlns:a16="http://schemas.microsoft.com/office/drawing/2014/main" id="{00000000-0008-0000-0200-00008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297180</xdr:colOff>
      <xdr:row>4</xdr:row>
      <xdr:rowOff>76200</xdr:rowOff>
    </xdr:from>
    <xdr:to>
      <xdr:col>16</xdr:col>
      <xdr:colOff>272415</xdr:colOff>
      <xdr:row>5</xdr:row>
      <xdr:rowOff>161925</xdr:rowOff>
    </xdr:to>
    <xdr:sp macro="" textlink="">
      <xdr:nvSpPr>
        <xdr:cNvPr id="138" name="Rounded Rectangle 10">
          <a:extLst>
            <a:ext uri="{FF2B5EF4-FFF2-40B4-BE49-F238E27FC236}">
              <a16:creationId xmlns:a16="http://schemas.microsoft.com/office/drawing/2014/main" id="{00000000-0008-0000-0200-00008A000000}"/>
            </a:ext>
          </a:extLst>
        </xdr:cNvPr>
        <xdr:cNvSpPr/>
      </xdr:nvSpPr>
      <xdr:spPr>
        <a:xfrm>
          <a:off x="7612380" y="807720"/>
          <a:ext cx="2413635" cy="268605"/>
        </a:xfrm>
        <a:prstGeom prst="roundRect">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91440</xdr:colOff>
      <xdr:row>4</xdr:row>
      <xdr:rowOff>38100</xdr:rowOff>
    </xdr:from>
    <xdr:to>
      <xdr:col>16</xdr:col>
      <xdr:colOff>434340</xdr:colOff>
      <xdr:row>5</xdr:row>
      <xdr:rowOff>152400</xdr:rowOff>
    </xdr:to>
    <xdr:sp macro="" textlink="visualization!H456">
      <xdr:nvSpPr>
        <xdr:cNvPr id="139" name="TextBox 138">
          <a:extLst>
            <a:ext uri="{FF2B5EF4-FFF2-40B4-BE49-F238E27FC236}">
              <a16:creationId xmlns:a16="http://schemas.microsoft.com/office/drawing/2014/main" id="{00000000-0008-0000-0200-00008B000000}"/>
            </a:ext>
          </a:extLst>
        </xdr:cNvPr>
        <xdr:cNvSpPr txBox="1"/>
      </xdr:nvSpPr>
      <xdr:spPr>
        <a:xfrm>
          <a:off x="7406640" y="769620"/>
          <a:ext cx="27813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1769CF-7F72-4D96-92D9-18F38CD29218}" type="TxLink">
            <a:rPr lang="en-US" sz="1100" b="0" i="0" u="none" strike="noStrike">
              <a:solidFill>
                <a:schemeClr val="bg1"/>
              </a:solidFill>
              <a:latin typeface="Calibri"/>
              <a:ea typeface="Calibri"/>
              <a:cs typeface="Calibri"/>
            </a:rPr>
            <a:pPr marL="0" indent="0" algn="ctr"/>
            <a:t>Top 3 Partner brings 63% Reveune</a:t>
          </a:fld>
          <a:endParaRPr lang="en-US" sz="950" b="1" i="1">
            <a:solidFill>
              <a:schemeClr val="bg1"/>
            </a:solidFill>
            <a:latin typeface="Arial Special G1" panose="050B0604020202020204" pitchFamily="34" charset="2"/>
            <a:ea typeface="+mn-ea"/>
            <a:cs typeface="Consolas" panose="020B0609020204030204" pitchFamily="49" charset="0"/>
          </a:endParaRPr>
        </a:p>
      </xdr:txBody>
    </xdr:sp>
    <xdr:clientData/>
  </xdr:twoCellAnchor>
  <xdr:twoCellAnchor>
    <xdr:from>
      <xdr:col>6</xdr:col>
      <xdr:colOff>501015</xdr:colOff>
      <xdr:row>4</xdr:row>
      <xdr:rowOff>9525</xdr:rowOff>
    </xdr:from>
    <xdr:to>
      <xdr:col>6</xdr:col>
      <xdr:colOff>561629</xdr:colOff>
      <xdr:row>4</xdr:row>
      <xdr:rowOff>76200</xdr:rowOff>
    </xdr:to>
    <xdr:sp macro="" textlink="">
      <xdr:nvSpPr>
        <xdr:cNvPr id="140" name="Oval 139">
          <a:extLst>
            <a:ext uri="{FF2B5EF4-FFF2-40B4-BE49-F238E27FC236}">
              <a16:creationId xmlns:a16="http://schemas.microsoft.com/office/drawing/2014/main" id="{00000000-0008-0000-0200-00008C000000}"/>
            </a:ext>
          </a:extLst>
        </xdr:cNvPr>
        <xdr:cNvSpPr/>
      </xdr:nvSpPr>
      <xdr:spPr>
        <a:xfrm>
          <a:off x="4158615" y="741045"/>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351473</xdr:colOff>
      <xdr:row>28</xdr:row>
      <xdr:rowOff>108254</xdr:rowOff>
    </xdr:from>
    <xdr:to>
      <xdr:col>7</xdr:col>
      <xdr:colOff>547688</xdr:colOff>
      <xdr:row>30</xdr:row>
      <xdr:rowOff>29404</xdr:rowOff>
    </xdr:to>
    <xdr:grpSp>
      <xdr:nvGrpSpPr>
        <xdr:cNvPr id="141" name="Group 140">
          <a:extLst>
            <a:ext uri="{FF2B5EF4-FFF2-40B4-BE49-F238E27FC236}">
              <a16:creationId xmlns:a16="http://schemas.microsoft.com/office/drawing/2014/main" id="{00000000-0008-0000-0200-00008D000000}"/>
            </a:ext>
          </a:extLst>
        </xdr:cNvPr>
        <xdr:cNvGrpSpPr/>
      </xdr:nvGrpSpPr>
      <xdr:grpSpPr>
        <a:xfrm>
          <a:off x="4009073" y="5228894"/>
          <a:ext cx="805815" cy="286910"/>
          <a:chOff x="5624513" y="3895725"/>
          <a:chExt cx="790575" cy="304800"/>
        </a:xfrm>
      </xdr:grpSpPr>
      <xdr:sp macro="" textlink="">
        <xdr:nvSpPr>
          <xdr:cNvPr id="142" name="TextBox 141">
            <a:extLst>
              <a:ext uri="{FF2B5EF4-FFF2-40B4-BE49-F238E27FC236}">
                <a16:creationId xmlns:a16="http://schemas.microsoft.com/office/drawing/2014/main" id="{00000000-0008-0000-0200-00008E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143" name="Oval 142">
            <a:extLst>
              <a:ext uri="{FF2B5EF4-FFF2-40B4-BE49-F238E27FC236}">
                <a16:creationId xmlns:a16="http://schemas.microsoft.com/office/drawing/2014/main" id="{00000000-0008-0000-0200-00008F000000}"/>
              </a:ext>
            </a:extLst>
          </xdr:cNvPr>
          <xdr:cNvSpPr/>
        </xdr:nvSpPr>
        <xdr:spPr>
          <a:xfrm>
            <a:off x="5657850" y="4019550"/>
            <a:ext cx="60614" cy="66675"/>
          </a:xfrm>
          <a:prstGeom prst="ellipse">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379054</xdr:colOff>
      <xdr:row>28</xdr:row>
      <xdr:rowOff>108253</xdr:rowOff>
    </xdr:from>
    <xdr:to>
      <xdr:col>4</xdr:col>
      <xdr:colOff>575269</xdr:colOff>
      <xdr:row>30</xdr:row>
      <xdr:rowOff>29403</xdr:rowOff>
    </xdr:to>
    <xdr:grpSp>
      <xdr:nvGrpSpPr>
        <xdr:cNvPr id="144" name="Group 143">
          <a:extLst>
            <a:ext uri="{FF2B5EF4-FFF2-40B4-BE49-F238E27FC236}">
              <a16:creationId xmlns:a16="http://schemas.microsoft.com/office/drawing/2014/main" id="{00000000-0008-0000-0200-000090000000}"/>
            </a:ext>
          </a:extLst>
        </xdr:cNvPr>
        <xdr:cNvGrpSpPr/>
      </xdr:nvGrpSpPr>
      <xdr:grpSpPr>
        <a:xfrm>
          <a:off x="2207854" y="5228893"/>
          <a:ext cx="805815" cy="286910"/>
          <a:chOff x="5624513" y="3895725"/>
          <a:chExt cx="790575" cy="304800"/>
        </a:xfrm>
      </xdr:grpSpPr>
      <xdr:sp macro="" textlink="">
        <xdr:nvSpPr>
          <xdr:cNvPr id="145" name="TextBox 144">
            <a:extLst>
              <a:ext uri="{FF2B5EF4-FFF2-40B4-BE49-F238E27FC236}">
                <a16:creationId xmlns:a16="http://schemas.microsoft.com/office/drawing/2014/main" id="{00000000-0008-0000-0200-000091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146" name="Oval 145">
            <a:extLst>
              <a:ext uri="{FF2B5EF4-FFF2-40B4-BE49-F238E27FC236}">
                <a16:creationId xmlns:a16="http://schemas.microsoft.com/office/drawing/2014/main" id="{00000000-0008-0000-0200-000092000000}"/>
              </a:ext>
            </a:extLst>
          </xdr:cNvPr>
          <xdr:cNvSpPr/>
        </xdr:nvSpPr>
        <xdr:spPr>
          <a:xfrm>
            <a:off x="5657850" y="4019550"/>
            <a:ext cx="60614" cy="666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228890</xdr:colOff>
      <xdr:row>28</xdr:row>
      <xdr:rowOff>5797</xdr:rowOff>
    </xdr:from>
    <xdr:to>
      <xdr:col>10</xdr:col>
      <xdr:colOff>425105</xdr:colOff>
      <xdr:row>29</xdr:row>
      <xdr:rowOff>120097</xdr:rowOff>
    </xdr:to>
    <xdr:grpSp>
      <xdr:nvGrpSpPr>
        <xdr:cNvPr id="147" name="Group 146">
          <a:extLst>
            <a:ext uri="{FF2B5EF4-FFF2-40B4-BE49-F238E27FC236}">
              <a16:creationId xmlns:a16="http://schemas.microsoft.com/office/drawing/2014/main" id="{00000000-0008-0000-0200-000093000000}"/>
            </a:ext>
          </a:extLst>
        </xdr:cNvPr>
        <xdr:cNvGrpSpPr/>
      </xdr:nvGrpSpPr>
      <xdr:grpSpPr>
        <a:xfrm>
          <a:off x="5715290" y="5126437"/>
          <a:ext cx="805815" cy="297180"/>
          <a:chOff x="5624513" y="3895725"/>
          <a:chExt cx="790575" cy="304800"/>
        </a:xfrm>
      </xdr:grpSpPr>
      <xdr:sp macro="" textlink="">
        <xdr:nvSpPr>
          <xdr:cNvPr id="148" name="TextBox 147">
            <a:extLst>
              <a:ext uri="{FF2B5EF4-FFF2-40B4-BE49-F238E27FC236}">
                <a16:creationId xmlns:a16="http://schemas.microsoft.com/office/drawing/2014/main" id="{00000000-0008-0000-0200-000094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149" name="Oval 148">
            <a:extLst>
              <a:ext uri="{FF2B5EF4-FFF2-40B4-BE49-F238E27FC236}">
                <a16:creationId xmlns:a16="http://schemas.microsoft.com/office/drawing/2014/main" id="{00000000-0008-0000-0200-000095000000}"/>
              </a:ext>
            </a:extLst>
          </xdr:cNvPr>
          <xdr:cNvSpPr/>
        </xdr:nvSpPr>
        <xdr:spPr>
          <a:xfrm>
            <a:off x="5657850" y="4019550"/>
            <a:ext cx="60614" cy="666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159786</xdr:colOff>
      <xdr:row>28</xdr:row>
      <xdr:rowOff>28491</xdr:rowOff>
    </xdr:from>
    <xdr:to>
      <xdr:col>13</xdr:col>
      <xdr:colOff>356001</xdr:colOff>
      <xdr:row>29</xdr:row>
      <xdr:rowOff>142473</xdr:rowOff>
    </xdr:to>
    <xdr:grpSp>
      <xdr:nvGrpSpPr>
        <xdr:cNvPr id="150" name="Group 149">
          <a:extLst>
            <a:ext uri="{FF2B5EF4-FFF2-40B4-BE49-F238E27FC236}">
              <a16:creationId xmlns:a16="http://schemas.microsoft.com/office/drawing/2014/main" id="{00000000-0008-0000-0200-000096000000}"/>
            </a:ext>
          </a:extLst>
        </xdr:cNvPr>
        <xdr:cNvGrpSpPr/>
      </xdr:nvGrpSpPr>
      <xdr:grpSpPr>
        <a:xfrm>
          <a:off x="7474986" y="5149131"/>
          <a:ext cx="805815" cy="296862"/>
          <a:chOff x="5624513" y="3895725"/>
          <a:chExt cx="790575" cy="304800"/>
        </a:xfrm>
      </xdr:grpSpPr>
      <xdr:sp macro="" textlink="">
        <xdr:nvSpPr>
          <xdr:cNvPr id="151" name="TextBox 150">
            <a:extLst>
              <a:ext uri="{FF2B5EF4-FFF2-40B4-BE49-F238E27FC236}">
                <a16:creationId xmlns:a16="http://schemas.microsoft.com/office/drawing/2014/main" id="{00000000-0008-0000-0200-000097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Reveune</a:t>
            </a:r>
          </a:p>
        </xdr:txBody>
      </xdr:sp>
      <xdr:sp macro="" textlink="">
        <xdr:nvSpPr>
          <xdr:cNvPr id="152" name="Oval 151">
            <a:extLst>
              <a:ext uri="{FF2B5EF4-FFF2-40B4-BE49-F238E27FC236}">
                <a16:creationId xmlns:a16="http://schemas.microsoft.com/office/drawing/2014/main" id="{00000000-0008-0000-0200-000098000000}"/>
              </a:ext>
            </a:extLst>
          </xdr:cNvPr>
          <xdr:cNvSpPr/>
        </xdr:nvSpPr>
        <xdr:spPr>
          <a:xfrm>
            <a:off x="5657850" y="4019550"/>
            <a:ext cx="60614" cy="66675"/>
          </a:xfrm>
          <a:prstGeom prst="ellipse">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566103</xdr:colOff>
      <xdr:row>27</xdr:row>
      <xdr:rowOff>179387</xdr:rowOff>
    </xdr:from>
    <xdr:to>
      <xdr:col>16</xdr:col>
      <xdr:colOff>338455</xdr:colOff>
      <xdr:row>29</xdr:row>
      <xdr:rowOff>103187</xdr:rowOff>
    </xdr:to>
    <xdr:sp macro="" textlink="">
      <xdr:nvSpPr>
        <xdr:cNvPr id="153" name="TextBox 152">
          <a:extLst>
            <a:ext uri="{FF2B5EF4-FFF2-40B4-BE49-F238E27FC236}">
              <a16:creationId xmlns:a16="http://schemas.microsoft.com/office/drawing/2014/main" id="{00000000-0008-0000-0200-000099000000}"/>
            </a:ext>
          </a:extLst>
        </xdr:cNvPr>
        <xdr:cNvSpPr txBox="1"/>
      </xdr:nvSpPr>
      <xdr:spPr>
        <a:xfrm>
          <a:off x="9100503" y="5117147"/>
          <a:ext cx="991552"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Reveune by</a:t>
          </a:r>
        </a:p>
      </xdr:txBody>
    </xdr:sp>
    <xdr:clientData/>
  </xdr:twoCellAnchor>
  <xdr:twoCellAnchor>
    <xdr:from>
      <xdr:col>6</xdr:col>
      <xdr:colOff>388620</xdr:colOff>
      <xdr:row>20</xdr:row>
      <xdr:rowOff>33622</xdr:rowOff>
    </xdr:from>
    <xdr:to>
      <xdr:col>9</xdr:col>
      <xdr:colOff>196215</xdr:colOff>
      <xdr:row>27</xdr:row>
      <xdr:rowOff>109252</xdr:rowOff>
    </xdr:to>
    <xdr:grpSp>
      <xdr:nvGrpSpPr>
        <xdr:cNvPr id="154" name="Group 153">
          <a:extLst>
            <a:ext uri="{FF2B5EF4-FFF2-40B4-BE49-F238E27FC236}">
              <a16:creationId xmlns:a16="http://schemas.microsoft.com/office/drawing/2014/main" id="{00000000-0008-0000-0200-00009A000000}"/>
            </a:ext>
          </a:extLst>
        </xdr:cNvPr>
        <xdr:cNvGrpSpPr/>
      </xdr:nvGrpSpPr>
      <xdr:grpSpPr>
        <a:xfrm>
          <a:off x="4046220" y="3691222"/>
          <a:ext cx="1636395" cy="1355790"/>
          <a:chOff x="2171700" y="3914774"/>
          <a:chExt cx="1600200" cy="1285876"/>
        </a:xfrm>
      </xdr:grpSpPr>
      <xdr:sp macro="" textlink="">
        <xdr:nvSpPr>
          <xdr:cNvPr id="155" name="Rounded Rectangle 44">
            <a:extLst>
              <a:ext uri="{FF2B5EF4-FFF2-40B4-BE49-F238E27FC236}">
                <a16:creationId xmlns:a16="http://schemas.microsoft.com/office/drawing/2014/main" id="{00000000-0008-0000-0200-00009B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6" name="Rounded Rectangle 45">
            <a:extLst>
              <a:ext uri="{FF2B5EF4-FFF2-40B4-BE49-F238E27FC236}">
                <a16:creationId xmlns:a16="http://schemas.microsoft.com/office/drawing/2014/main" id="{00000000-0008-0000-0200-00009C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426720</xdr:colOff>
      <xdr:row>20</xdr:row>
      <xdr:rowOff>104775</xdr:rowOff>
    </xdr:from>
    <xdr:to>
      <xdr:col>9</xdr:col>
      <xdr:colOff>158115</xdr:colOff>
      <xdr:row>22</xdr:row>
      <xdr:rowOff>28575</xdr:rowOff>
    </xdr:to>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4084320" y="3762375"/>
          <a:ext cx="156019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Central</a:t>
          </a:r>
        </a:p>
      </xdr:txBody>
    </xdr:sp>
    <xdr:clientData/>
  </xdr:twoCellAnchor>
  <xdr:twoCellAnchor>
    <xdr:from>
      <xdr:col>6</xdr:col>
      <xdr:colOff>445770</xdr:colOff>
      <xdr:row>23</xdr:row>
      <xdr:rowOff>28576</xdr:rowOff>
    </xdr:from>
    <xdr:to>
      <xdr:col>9</xdr:col>
      <xdr:colOff>120015</xdr:colOff>
      <xdr:row>24</xdr:row>
      <xdr:rowOff>123825</xdr:rowOff>
    </xdr:to>
    <xdr:sp macro="" textlink="">
      <xdr:nvSpPr>
        <xdr:cNvPr id="158" name="Rectangle 157">
          <a:extLst>
            <a:ext uri="{FF2B5EF4-FFF2-40B4-BE49-F238E27FC236}">
              <a16:creationId xmlns:a16="http://schemas.microsoft.com/office/drawing/2014/main" id="{00000000-0008-0000-0200-00009E000000}"/>
            </a:ext>
          </a:extLst>
        </xdr:cNvPr>
        <xdr:cNvSpPr/>
      </xdr:nvSpPr>
      <xdr:spPr>
        <a:xfrm>
          <a:off x="4103370" y="4234816"/>
          <a:ext cx="1503045" cy="27812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321945</xdr:colOff>
      <xdr:row>20</xdr:row>
      <xdr:rowOff>171451</xdr:rowOff>
    </xdr:from>
    <xdr:to>
      <xdr:col>9</xdr:col>
      <xdr:colOff>144780</xdr:colOff>
      <xdr:row>25</xdr:row>
      <xdr:rowOff>30480</xdr:rowOff>
    </xdr:to>
    <xdr:graphicFrame macro="">
      <xdr:nvGraphicFramePr>
        <xdr:cNvPr id="159" name="Chart 11">
          <a:extLst>
            <a:ext uri="{FF2B5EF4-FFF2-40B4-BE49-F238E27FC236}">
              <a16:creationId xmlns:a16="http://schemas.microsoft.com/office/drawing/2014/main" id="{00000000-0008-0000-0200-00009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426721</xdr:colOff>
      <xdr:row>24</xdr:row>
      <xdr:rowOff>133350</xdr:rowOff>
    </xdr:from>
    <xdr:to>
      <xdr:col>9</xdr:col>
      <xdr:colOff>177165</xdr:colOff>
      <xdr:row>26</xdr:row>
      <xdr:rowOff>171450</xdr:rowOff>
    </xdr:to>
    <xdr:sp macro="" textlink="">
      <xdr:nvSpPr>
        <xdr:cNvPr id="160" name="Rectangle 159">
          <a:extLst>
            <a:ext uri="{FF2B5EF4-FFF2-40B4-BE49-F238E27FC236}">
              <a16:creationId xmlns:a16="http://schemas.microsoft.com/office/drawing/2014/main" id="{00000000-0008-0000-0200-0000A0000000}"/>
            </a:ext>
          </a:extLst>
        </xdr:cNvPr>
        <xdr:cNvSpPr/>
      </xdr:nvSpPr>
      <xdr:spPr>
        <a:xfrm>
          <a:off x="4084321" y="4522470"/>
          <a:ext cx="1579244" cy="4038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455294</xdr:colOff>
      <xdr:row>23</xdr:row>
      <xdr:rowOff>28576</xdr:rowOff>
    </xdr:from>
    <xdr:to>
      <xdr:col>9</xdr:col>
      <xdr:colOff>158115</xdr:colOff>
      <xdr:row>24</xdr:row>
      <xdr:rowOff>104776</xdr:rowOff>
    </xdr:to>
    <xdr:sp macro="" textlink="">
      <xdr:nvSpPr>
        <xdr:cNvPr id="161" name="Rounded Rectangle 6">
          <a:extLst>
            <a:ext uri="{FF2B5EF4-FFF2-40B4-BE49-F238E27FC236}">
              <a16:creationId xmlns:a16="http://schemas.microsoft.com/office/drawing/2014/main" id="{00000000-0008-0000-0200-0000A1000000}"/>
            </a:ext>
          </a:extLst>
        </xdr:cNvPr>
        <xdr:cNvSpPr/>
      </xdr:nvSpPr>
      <xdr:spPr>
        <a:xfrm>
          <a:off x="4112894" y="4234816"/>
          <a:ext cx="1531621" cy="25908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335280</xdr:colOff>
      <xdr:row>24</xdr:row>
      <xdr:rowOff>66675</xdr:rowOff>
    </xdr:from>
    <xdr:to>
      <xdr:col>8</xdr:col>
      <xdr:colOff>30480</xdr:colOff>
      <xdr:row>25</xdr:row>
      <xdr:rowOff>180975</xdr:rowOff>
    </xdr:to>
    <xdr:sp macro="" textlink="">
      <xdr:nvSpPr>
        <xdr:cNvPr id="162" name="TextBox 161">
          <a:extLst>
            <a:ext uri="{FF2B5EF4-FFF2-40B4-BE49-F238E27FC236}">
              <a16:creationId xmlns:a16="http://schemas.microsoft.com/office/drawing/2014/main" id="{00000000-0008-0000-0200-0000A2000000}"/>
            </a:ext>
          </a:extLst>
        </xdr:cNvPr>
        <xdr:cNvSpPr txBox="1"/>
      </xdr:nvSpPr>
      <xdr:spPr>
        <a:xfrm>
          <a:off x="3992880" y="4455795"/>
          <a:ext cx="91440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Opportunities</a:t>
          </a:r>
          <a:endParaRPr lang="en-US" sz="1200" b="0">
            <a:solidFill>
              <a:srgbClr val="780000"/>
            </a:solidFill>
            <a:latin typeface="Arial Special G1" panose="050B0604020202020204" pitchFamily="34" charset="2"/>
            <a:cs typeface="Consolas" panose="020B0609020204030204" pitchFamily="49" charset="0"/>
          </a:endParaRPr>
        </a:p>
      </xdr:txBody>
    </xdr:sp>
    <xdr:clientData/>
  </xdr:twoCellAnchor>
  <xdr:twoCellAnchor>
    <xdr:from>
      <xdr:col>7</xdr:col>
      <xdr:colOff>472440</xdr:colOff>
      <xdr:row>24</xdr:row>
      <xdr:rowOff>76200</xdr:rowOff>
    </xdr:from>
    <xdr:to>
      <xdr:col>9</xdr:col>
      <xdr:colOff>293370</xdr:colOff>
      <xdr:row>26</xdr:row>
      <xdr:rowOff>0</xdr:rowOff>
    </xdr:to>
    <xdr:sp macro="" textlink="visualization!O69">
      <xdr:nvSpPr>
        <xdr:cNvPr id="163" name="TextBox 162">
          <a:extLst>
            <a:ext uri="{FF2B5EF4-FFF2-40B4-BE49-F238E27FC236}">
              <a16:creationId xmlns:a16="http://schemas.microsoft.com/office/drawing/2014/main" id="{00000000-0008-0000-0200-0000A3000000}"/>
            </a:ext>
          </a:extLst>
        </xdr:cNvPr>
        <xdr:cNvSpPr txBox="1"/>
      </xdr:nvSpPr>
      <xdr:spPr>
        <a:xfrm>
          <a:off x="4739640" y="4465320"/>
          <a:ext cx="104013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CD340B-4476-4E99-8944-2EE3B3CD4306}" type="TxLink">
            <a:rPr lang="en-US" sz="1400" b="1" i="0" u="none" strike="noStrike">
              <a:solidFill>
                <a:schemeClr val="tx1">
                  <a:lumMod val="65000"/>
                  <a:lumOff val="35000"/>
                </a:schemeClr>
              </a:solidFill>
              <a:latin typeface="Agency FB" panose="020B0503020202020204" pitchFamily="34" charset="0"/>
              <a:ea typeface="+mn-ea"/>
              <a:cs typeface="Calibri"/>
            </a:rPr>
            <a:pPr marL="0" indent="0" algn="ctr"/>
            <a:t>178</a:t>
          </a:fld>
          <a:endParaRPr lang="en-US" sz="1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219075</xdr:colOff>
      <xdr:row>25</xdr:row>
      <xdr:rowOff>104775</xdr:rowOff>
    </xdr:from>
    <xdr:to>
      <xdr:col>8</xdr:col>
      <xdr:colOff>175260</xdr:colOff>
      <xdr:row>27</xdr:row>
      <xdr:rowOff>28575</xdr:rowOff>
    </xdr:to>
    <xdr:sp macro="" textlink="">
      <xdr:nvSpPr>
        <xdr:cNvPr id="164" name="TextBox 163">
          <a:extLst>
            <a:ext uri="{FF2B5EF4-FFF2-40B4-BE49-F238E27FC236}">
              <a16:creationId xmlns:a16="http://schemas.microsoft.com/office/drawing/2014/main" id="{00000000-0008-0000-0200-0000A4000000}"/>
            </a:ext>
          </a:extLst>
        </xdr:cNvPr>
        <xdr:cNvSpPr txBox="1"/>
      </xdr:nvSpPr>
      <xdr:spPr>
        <a:xfrm>
          <a:off x="3876675" y="4676775"/>
          <a:ext cx="1175385"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%Oppotunities:</a:t>
          </a:r>
        </a:p>
      </xdr:txBody>
    </xdr:sp>
    <xdr:clientData/>
  </xdr:twoCellAnchor>
  <xdr:twoCellAnchor>
    <xdr:from>
      <xdr:col>8</xdr:col>
      <xdr:colOff>15240</xdr:colOff>
      <xdr:row>25</xdr:row>
      <xdr:rowOff>114300</xdr:rowOff>
    </xdr:from>
    <xdr:to>
      <xdr:col>9</xdr:col>
      <xdr:colOff>240030</xdr:colOff>
      <xdr:row>27</xdr:row>
      <xdr:rowOff>38100</xdr:rowOff>
    </xdr:to>
    <xdr:sp macro="" textlink="visualization!N69">
      <xdr:nvSpPr>
        <xdr:cNvPr id="165" name="TextBox 164">
          <a:extLst>
            <a:ext uri="{FF2B5EF4-FFF2-40B4-BE49-F238E27FC236}">
              <a16:creationId xmlns:a16="http://schemas.microsoft.com/office/drawing/2014/main" id="{00000000-0008-0000-0200-0000A5000000}"/>
            </a:ext>
          </a:extLst>
        </xdr:cNvPr>
        <xdr:cNvSpPr txBox="1"/>
      </xdr:nvSpPr>
      <xdr:spPr>
        <a:xfrm>
          <a:off x="4892040" y="4686300"/>
          <a:ext cx="83439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082595-5B62-4B58-B7A5-17C176FE9079}" type="TxLink">
            <a:rPr lang="en-US" sz="1400" b="1" i="0" u="none" strike="noStrike">
              <a:solidFill>
                <a:srgbClr val="002060"/>
              </a:solidFill>
              <a:latin typeface="Calibri"/>
              <a:ea typeface="+mn-ea"/>
              <a:cs typeface="Calibri"/>
            </a:rPr>
            <a:pPr marL="0" indent="0" algn="ctr"/>
            <a:t>37%</a:t>
          </a:fld>
          <a:endParaRPr lang="en-US" sz="1400" b="1" i="0" u="none" strike="noStrike">
            <a:solidFill>
              <a:srgbClr val="002060"/>
            </a:solidFill>
            <a:latin typeface="Calibri"/>
            <a:ea typeface="+mn-ea"/>
            <a:cs typeface="Consolas" panose="020B0609020204030204" pitchFamily="49" charset="0"/>
          </a:endParaRPr>
        </a:p>
      </xdr:txBody>
    </xdr:sp>
    <xdr:clientData/>
  </xdr:twoCellAnchor>
  <xdr:twoCellAnchor>
    <xdr:from>
      <xdr:col>6</xdr:col>
      <xdr:colOff>445770</xdr:colOff>
      <xdr:row>21</xdr:row>
      <xdr:rowOff>152400</xdr:rowOff>
    </xdr:from>
    <xdr:to>
      <xdr:col>9</xdr:col>
      <xdr:colOff>220980</xdr:colOff>
      <xdr:row>23</xdr:row>
      <xdr:rowOff>76200</xdr:rowOff>
    </xdr:to>
    <xdr:sp macro="" textlink="">
      <xdr:nvSpPr>
        <xdr:cNvPr id="166" name="TextBox 165">
          <a:extLst>
            <a:ext uri="{FF2B5EF4-FFF2-40B4-BE49-F238E27FC236}">
              <a16:creationId xmlns:a16="http://schemas.microsoft.com/office/drawing/2014/main" id="{00000000-0008-0000-0200-0000A6000000}"/>
            </a:ext>
          </a:extLst>
        </xdr:cNvPr>
        <xdr:cNvSpPr txBox="1"/>
      </xdr:nvSpPr>
      <xdr:spPr>
        <a:xfrm>
          <a:off x="4103370" y="3992880"/>
          <a:ext cx="160401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dk1"/>
              </a:solidFill>
              <a:effectLst/>
              <a:latin typeface="+mn-lt"/>
              <a:ea typeface="+mn-ea"/>
              <a:cs typeface="+mn-cs"/>
            </a:rPr>
            <a:t>Region base Opportunity</a:t>
          </a:r>
          <a:endParaRPr lang="en-IN" sz="1000">
            <a:effectLst/>
          </a:endParaRPr>
        </a:p>
      </xdr:txBody>
    </xdr:sp>
    <xdr:clientData/>
  </xdr:twoCellAnchor>
  <xdr:twoCellAnchor>
    <xdr:from>
      <xdr:col>7</xdr:col>
      <xdr:colOff>440055</xdr:colOff>
      <xdr:row>13</xdr:row>
      <xdr:rowOff>38636</xdr:rowOff>
    </xdr:from>
    <xdr:to>
      <xdr:col>10</xdr:col>
      <xdr:colOff>495300</xdr:colOff>
      <xdr:row>19</xdr:row>
      <xdr:rowOff>19587</xdr:rowOff>
    </xdr:to>
    <xdr:graphicFrame macro="">
      <xdr:nvGraphicFramePr>
        <xdr:cNvPr id="167" name="Chart 166">
          <a:extLst>
            <a:ext uri="{FF2B5EF4-FFF2-40B4-BE49-F238E27FC236}">
              <a16:creationId xmlns:a16="http://schemas.microsoft.com/office/drawing/2014/main" id="{00000000-0008-0000-0200-0000A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287655</xdr:colOff>
      <xdr:row>15</xdr:row>
      <xdr:rowOff>71974</xdr:rowOff>
    </xdr:from>
    <xdr:to>
      <xdr:col>10</xdr:col>
      <xdr:colOff>108585</xdr:colOff>
      <xdr:row>16</xdr:row>
      <xdr:rowOff>181305</xdr:rowOff>
    </xdr:to>
    <xdr:sp macro="" textlink="visualization!N254">
      <xdr:nvSpPr>
        <xdr:cNvPr id="168" name="TextBox 167">
          <a:extLst>
            <a:ext uri="{FF2B5EF4-FFF2-40B4-BE49-F238E27FC236}">
              <a16:creationId xmlns:a16="http://schemas.microsoft.com/office/drawing/2014/main" id="{00000000-0008-0000-0200-0000A8000000}"/>
            </a:ext>
          </a:extLst>
        </xdr:cNvPr>
        <xdr:cNvSpPr txBox="1"/>
      </xdr:nvSpPr>
      <xdr:spPr>
        <a:xfrm>
          <a:off x="5164455" y="2815174"/>
          <a:ext cx="1040130"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AFFD19-60E3-45D5-8168-ACE209FAB5D8}" type="TxLink">
            <a:rPr lang="en-US" sz="1600" b="1" i="0" u="none" strike="noStrike">
              <a:solidFill>
                <a:schemeClr val="accent1">
                  <a:lumMod val="50000"/>
                </a:schemeClr>
              </a:solidFill>
              <a:latin typeface="Calibri"/>
              <a:ea typeface="+mn-ea"/>
              <a:cs typeface="Calibri"/>
            </a:rPr>
            <a:pPr marL="0" indent="0" algn="ctr"/>
            <a:t>33.1%</a:t>
          </a:fld>
          <a:endParaRPr lang="en-US" sz="1600" b="1" i="0" u="none" strike="noStrike">
            <a:solidFill>
              <a:schemeClr val="accent1">
                <a:lumMod val="50000"/>
              </a:schemeClr>
            </a:solidFill>
            <a:latin typeface="Calibri"/>
            <a:ea typeface="+mn-ea"/>
            <a:cs typeface="Consolas" panose="020B0609020204030204" pitchFamily="49" charset="0"/>
          </a:endParaRPr>
        </a:p>
      </xdr:txBody>
    </xdr:sp>
    <xdr:clientData/>
  </xdr:twoCellAnchor>
  <xdr:twoCellAnchor>
    <xdr:from>
      <xdr:col>8</xdr:col>
      <xdr:colOff>87629</xdr:colOff>
      <xdr:row>18</xdr:row>
      <xdr:rowOff>52924</xdr:rowOff>
    </xdr:from>
    <xdr:to>
      <xdr:col>10</xdr:col>
      <xdr:colOff>203835</xdr:colOff>
      <xdr:row>19</xdr:row>
      <xdr:rowOff>162255</xdr:rowOff>
    </xdr:to>
    <xdr:sp macro="" textlink="visualization!P254">
      <xdr:nvSpPr>
        <xdr:cNvPr id="169" name="TextBox 168">
          <a:extLst>
            <a:ext uri="{FF2B5EF4-FFF2-40B4-BE49-F238E27FC236}">
              <a16:creationId xmlns:a16="http://schemas.microsoft.com/office/drawing/2014/main" id="{00000000-0008-0000-0200-0000A9000000}"/>
            </a:ext>
          </a:extLst>
        </xdr:cNvPr>
        <xdr:cNvSpPr txBox="1"/>
      </xdr:nvSpPr>
      <xdr:spPr>
        <a:xfrm>
          <a:off x="4964429" y="3344764"/>
          <a:ext cx="1335406" cy="292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D63176-4520-41BC-A714-D9C4B5E1060A}" type="TxLink">
            <a:rPr lang="en-US" sz="1200" b="1" i="0" u="none" strike="noStrike">
              <a:solidFill>
                <a:schemeClr val="tx1">
                  <a:lumMod val="65000"/>
                  <a:lumOff val="35000"/>
                </a:schemeClr>
              </a:solidFill>
              <a:latin typeface="Agency FB" panose="020B0503020202020204" pitchFamily="34" charset="0"/>
              <a:ea typeface="+mn-ea"/>
              <a:cs typeface="Calibri"/>
            </a:rPr>
            <a:pPr marL="0" indent="0" algn="ctr"/>
            <a:t>161</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8</xdr:col>
      <xdr:colOff>360539</xdr:colOff>
      <xdr:row>12</xdr:row>
      <xdr:rowOff>119268</xdr:rowOff>
    </xdr:from>
    <xdr:to>
      <xdr:col>9</xdr:col>
      <xdr:colOff>571994</xdr:colOff>
      <xdr:row>14</xdr:row>
      <xdr:rowOff>48038</xdr:rowOff>
    </xdr:to>
    <xdr:sp macro="" textlink="">
      <xdr:nvSpPr>
        <xdr:cNvPr id="170" name="TextBox 169">
          <a:extLst>
            <a:ext uri="{FF2B5EF4-FFF2-40B4-BE49-F238E27FC236}">
              <a16:creationId xmlns:a16="http://schemas.microsoft.com/office/drawing/2014/main" id="{00000000-0008-0000-0200-0000AA000000}"/>
            </a:ext>
          </a:extLst>
        </xdr:cNvPr>
        <xdr:cNvSpPr txBox="1"/>
      </xdr:nvSpPr>
      <xdr:spPr>
        <a:xfrm>
          <a:off x="5237339" y="2313828"/>
          <a:ext cx="821055" cy="294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Medium</a:t>
          </a:r>
        </a:p>
      </xdr:txBody>
    </xdr:sp>
    <xdr:clientData/>
  </xdr:twoCellAnchor>
  <xdr:twoCellAnchor>
    <xdr:from>
      <xdr:col>7</xdr:col>
      <xdr:colOff>576470</xdr:colOff>
      <xdr:row>11</xdr:row>
      <xdr:rowOff>139145</xdr:rowOff>
    </xdr:from>
    <xdr:to>
      <xdr:col>10</xdr:col>
      <xdr:colOff>304800</xdr:colOff>
      <xdr:row>13</xdr:row>
      <xdr:rowOff>67915</xdr:rowOff>
    </xdr:to>
    <xdr:sp macro="" textlink="">
      <xdr:nvSpPr>
        <xdr:cNvPr id="171" name="TextBox 170">
          <a:extLst>
            <a:ext uri="{FF2B5EF4-FFF2-40B4-BE49-F238E27FC236}">
              <a16:creationId xmlns:a16="http://schemas.microsoft.com/office/drawing/2014/main" id="{00000000-0008-0000-0200-0000AB000000}"/>
            </a:ext>
          </a:extLst>
        </xdr:cNvPr>
        <xdr:cNvSpPr txBox="1"/>
      </xdr:nvSpPr>
      <xdr:spPr>
        <a:xfrm>
          <a:off x="4843670" y="2150825"/>
          <a:ext cx="1557130" cy="294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OPPORTUNITIES</a:t>
          </a:r>
        </a:p>
      </xdr:txBody>
    </xdr:sp>
    <xdr:clientData/>
  </xdr:twoCellAnchor>
  <xdr:twoCellAnchor>
    <xdr:from>
      <xdr:col>18</xdr:col>
      <xdr:colOff>270655</xdr:colOff>
      <xdr:row>13</xdr:row>
      <xdr:rowOff>139341</xdr:rowOff>
    </xdr:from>
    <xdr:to>
      <xdr:col>21</xdr:col>
      <xdr:colOff>123821</xdr:colOff>
      <xdr:row>17</xdr:row>
      <xdr:rowOff>25040</xdr:rowOff>
    </xdr:to>
    <xdr:grpSp>
      <xdr:nvGrpSpPr>
        <xdr:cNvPr id="172" name="Group 171">
          <a:extLst>
            <a:ext uri="{FF2B5EF4-FFF2-40B4-BE49-F238E27FC236}">
              <a16:creationId xmlns:a16="http://schemas.microsoft.com/office/drawing/2014/main" id="{00000000-0008-0000-0200-0000AC000000}"/>
            </a:ext>
          </a:extLst>
        </xdr:cNvPr>
        <xdr:cNvGrpSpPr/>
      </xdr:nvGrpSpPr>
      <xdr:grpSpPr>
        <a:xfrm>
          <a:off x="11243455" y="2516781"/>
          <a:ext cx="1681966" cy="617219"/>
          <a:chOff x="11082337" y="754288"/>
          <a:chExt cx="1652587" cy="645366"/>
        </a:xfrm>
      </xdr:grpSpPr>
      <xdr:sp macro="" textlink="">
        <xdr:nvSpPr>
          <xdr:cNvPr id="173" name="Rounded Rectangle 95">
            <a:extLst>
              <a:ext uri="{FF2B5EF4-FFF2-40B4-BE49-F238E27FC236}">
                <a16:creationId xmlns:a16="http://schemas.microsoft.com/office/drawing/2014/main" id="{00000000-0008-0000-0200-0000AD000000}"/>
              </a:ext>
            </a:extLst>
          </xdr:cNvPr>
          <xdr:cNvSpPr/>
        </xdr:nvSpPr>
        <xdr:spPr>
          <a:xfrm>
            <a:off x="11550123" y="754288"/>
            <a:ext cx="696282" cy="541788"/>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4" name="TextBox 173">
            <a:extLst>
              <a:ext uri="{FF2B5EF4-FFF2-40B4-BE49-F238E27FC236}">
                <a16:creationId xmlns:a16="http://schemas.microsoft.com/office/drawing/2014/main" id="{00000000-0008-0000-0200-0000AE000000}"/>
              </a:ext>
            </a:extLst>
          </xdr:cNvPr>
          <xdr:cNvSpPr txBox="1"/>
        </xdr:nvSpPr>
        <xdr:spPr>
          <a:xfrm>
            <a:off x="11082337" y="762000"/>
            <a:ext cx="15811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 Partner</a:t>
            </a:r>
          </a:p>
        </xdr:txBody>
      </xdr:sp>
      <xdr:sp macro="" textlink="visualization!E347">
        <xdr:nvSpPr>
          <xdr:cNvPr id="175" name="TextBox 174">
            <a:extLst>
              <a:ext uri="{FF2B5EF4-FFF2-40B4-BE49-F238E27FC236}">
                <a16:creationId xmlns:a16="http://schemas.microsoft.com/office/drawing/2014/main" id="{00000000-0008-0000-0200-0000AF000000}"/>
              </a:ext>
            </a:extLst>
          </xdr:cNvPr>
          <xdr:cNvSpPr txBox="1"/>
        </xdr:nvSpPr>
        <xdr:spPr>
          <a:xfrm>
            <a:off x="11130856" y="802094"/>
            <a:ext cx="1604068" cy="597560"/>
          </a:xfrm>
          <a:prstGeom prst="rect">
            <a:avLst/>
          </a:prstGeom>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45A551-E563-4A7C-8323-A08323E718FC}" type="TxLink">
              <a:rPr lang="en-US" sz="1100" b="1">
                <a:solidFill>
                  <a:schemeClr val="tx1">
                    <a:lumMod val="65000"/>
                    <a:lumOff val="35000"/>
                  </a:schemeClr>
                </a:solidFill>
                <a:latin typeface="Consolas" panose="020B0609020204030204" pitchFamily="49" charset="0"/>
                <a:ea typeface="+mn-ea"/>
                <a:cs typeface="Consolas" panose="020B0609020204030204" pitchFamily="49" charset="0"/>
              </a:rPr>
              <a:pPr marL="0" indent="0" algn="ctr"/>
              <a:t>100</a:t>
            </a:fld>
            <a:endParaRPr lang="en-US" sz="1100" b="1">
              <a:solidFill>
                <a:schemeClr val="tx1">
                  <a:lumMod val="65000"/>
                  <a:lumOff val="35000"/>
                </a:schemeClr>
              </a:solidFill>
              <a:latin typeface="Consolas" panose="020B0609020204030204" pitchFamily="49" charset="0"/>
              <a:ea typeface="+mn-ea"/>
              <a:cs typeface="Consolas" panose="020B0609020204030204" pitchFamily="49" charset="0"/>
            </a:endParaRPr>
          </a:p>
        </xdr:txBody>
      </xdr:sp>
    </xdr:grpSp>
    <xdr:clientData/>
  </xdr:twoCellAnchor>
  <xdr:twoCellAnchor editAs="oneCell">
    <xdr:from>
      <xdr:col>16</xdr:col>
      <xdr:colOff>549855</xdr:colOff>
      <xdr:row>20</xdr:row>
      <xdr:rowOff>177708</xdr:rowOff>
    </xdr:from>
    <xdr:to>
      <xdr:col>18</xdr:col>
      <xdr:colOff>35859</xdr:colOff>
      <xdr:row>27</xdr:row>
      <xdr:rowOff>116999</xdr:rowOff>
    </xdr:to>
    <xdr:pic>
      <xdr:nvPicPr>
        <xdr:cNvPr id="176" name="Picture 175">
          <a:extLst>
            <a:ext uri="{FF2B5EF4-FFF2-40B4-BE49-F238E27FC236}">
              <a16:creationId xmlns:a16="http://schemas.microsoft.com/office/drawing/2014/main" id="{00000000-0008-0000-0200-0000B0000000}"/>
            </a:ext>
          </a:extLst>
        </xdr:cNvPr>
        <xdr:cNvPicPr>
          <a:picLocks noChangeAspect="1"/>
        </xdr:cNvPicPr>
      </xdr:nvPicPr>
      <xdr:blipFill>
        <a:blip xmlns:r="http://schemas.openxmlformats.org/officeDocument/2006/relationships" r:embed="rId16"/>
        <a:stretch>
          <a:fillRect/>
        </a:stretch>
      </xdr:blipFill>
      <xdr:spPr>
        <a:xfrm>
          <a:off x="10303455" y="3763590"/>
          <a:ext cx="705204" cy="119435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18</xdr:col>
      <xdr:colOff>335547</xdr:colOff>
      <xdr:row>20</xdr:row>
      <xdr:rowOff>161365</xdr:rowOff>
    </xdr:from>
    <xdr:to>
      <xdr:col>19</xdr:col>
      <xdr:colOff>450602</xdr:colOff>
      <xdr:row>27</xdr:row>
      <xdr:rowOff>154970</xdr:rowOff>
    </xdr:to>
    <xdr:pic>
      <xdr:nvPicPr>
        <xdr:cNvPr id="177" name="Picture 176">
          <a:extLst>
            <a:ext uri="{FF2B5EF4-FFF2-40B4-BE49-F238E27FC236}">
              <a16:creationId xmlns:a16="http://schemas.microsoft.com/office/drawing/2014/main" id="{00000000-0008-0000-0200-0000B1000000}"/>
            </a:ext>
          </a:extLst>
        </xdr:cNvPr>
        <xdr:cNvPicPr>
          <a:picLocks noChangeAspect="1"/>
        </xdr:cNvPicPr>
      </xdr:nvPicPr>
      <xdr:blipFill>
        <a:blip xmlns:r="http://schemas.openxmlformats.org/officeDocument/2006/relationships" r:embed="rId17"/>
        <a:stretch>
          <a:fillRect/>
        </a:stretch>
      </xdr:blipFill>
      <xdr:spPr>
        <a:xfrm>
          <a:off x="11308347" y="3747247"/>
          <a:ext cx="724655" cy="12486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20</xdr:col>
      <xdr:colOff>213972</xdr:colOff>
      <xdr:row>20</xdr:row>
      <xdr:rowOff>71718</xdr:rowOff>
    </xdr:from>
    <xdr:to>
      <xdr:col>21</xdr:col>
      <xdr:colOff>291905</xdr:colOff>
      <xdr:row>27</xdr:row>
      <xdr:rowOff>178428</xdr:rowOff>
    </xdr:to>
    <xdr:pic>
      <xdr:nvPicPr>
        <xdr:cNvPr id="178" name="Picture 177">
          <a:extLst>
            <a:ext uri="{FF2B5EF4-FFF2-40B4-BE49-F238E27FC236}">
              <a16:creationId xmlns:a16="http://schemas.microsoft.com/office/drawing/2014/main" id="{00000000-0008-0000-0200-0000B2000000}"/>
            </a:ext>
          </a:extLst>
        </xdr:cNvPr>
        <xdr:cNvPicPr>
          <a:picLocks noChangeAspect="1"/>
        </xdr:cNvPicPr>
      </xdr:nvPicPr>
      <xdr:blipFill>
        <a:blip xmlns:r="http://schemas.openxmlformats.org/officeDocument/2006/relationships" r:embed="rId18"/>
        <a:stretch>
          <a:fillRect/>
        </a:stretch>
      </xdr:blipFill>
      <xdr:spPr>
        <a:xfrm>
          <a:off x="12405972" y="3657600"/>
          <a:ext cx="687533" cy="136176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0</xdr:col>
      <xdr:colOff>438150</xdr:colOff>
      <xdr:row>0</xdr:row>
      <xdr:rowOff>0</xdr:rowOff>
    </xdr:from>
    <xdr:to>
      <xdr:col>2</xdr:col>
      <xdr:colOff>552450</xdr:colOff>
      <xdr:row>2</xdr:row>
      <xdr:rowOff>0</xdr:rowOff>
    </xdr:to>
    <xdr:sp macro="" textlink="">
      <xdr:nvSpPr>
        <xdr:cNvPr id="179" name="TextBox 178">
          <a:extLst>
            <a:ext uri="{FF2B5EF4-FFF2-40B4-BE49-F238E27FC236}">
              <a16:creationId xmlns:a16="http://schemas.microsoft.com/office/drawing/2014/main" id="{00000000-0008-0000-0200-0000B3000000}"/>
            </a:ext>
          </a:extLst>
        </xdr:cNvPr>
        <xdr:cNvSpPr txBox="1"/>
      </xdr:nvSpPr>
      <xdr:spPr>
        <a:xfrm>
          <a:off x="438150" y="0"/>
          <a:ext cx="13335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twoCellAnchor>
    <xdr:from>
      <xdr:col>0</xdr:col>
      <xdr:colOff>0</xdr:colOff>
      <xdr:row>2</xdr:row>
      <xdr:rowOff>32656</xdr:rowOff>
    </xdr:from>
    <xdr:to>
      <xdr:col>3</xdr:col>
      <xdr:colOff>245745</xdr:colOff>
      <xdr:row>36</xdr:row>
      <xdr:rowOff>26893</xdr:rowOff>
    </xdr:to>
    <xdr:sp macro="" textlink="">
      <xdr:nvSpPr>
        <xdr:cNvPr id="180" name="Rectangle 179">
          <a:extLst>
            <a:ext uri="{FF2B5EF4-FFF2-40B4-BE49-F238E27FC236}">
              <a16:creationId xmlns:a16="http://schemas.microsoft.com/office/drawing/2014/main" id="{00000000-0008-0000-0200-0000B4000000}"/>
            </a:ext>
          </a:extLst>
        </xdr:cNvPr>
        <xdr:cNvSpPr/>
      </xdr:nvSpPr>
      <xdr:spPr>
        <a:xfrm>
          <a:off x="0" y="398416"/>
          <a:ext cx="2074545" cy="6212157"/>
        </a:xfrm>
        <a:prstGeom prst="rect">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xdr:colOff>
      <xdr:row>2</xdr:row>
      <xdr:rowOff>9525</xdr:rowOff>
    </xdr:from>
    <xdr:to>
      <xdr:col>3</xdr:col>
      <xdr:colOff>226696</xdr:colOff>
      <xdr:row>4</xdr:row>
      <xdr:rowOff>9525</xdr:rowOff>
    </xdr:to>
    <xdr:sp macro="" textlink="">
      <xdr:nvSpPr>
        <xdr:cNvPr id="181" name="TextBox 180">
          <a:extLst>
            <a:ext uri="{FF2B5EF4-FFF2-40B4-BE49-F238E27FC236}">
              <a16:creationId xmlns:a16="http://schemas.microsoft.com/office/drawing/2014/main" id="{00000000-0008-0000-0200-0000B5000000}"/>
            </a:ext>
          </a:extLst>
        </xdr:cNvPr>
        <xdr:cNvSpPr txBox="1"/>
      </xdr:nvSpPr>
      <xdr:spPr>
        <a:xfrm>
          <a:off x="9525" y="375285"/>
          <a:ext cx="2045971" cy="365760"/>
        </a:xfrm>
        <a:prstGeom prst="rect">
          <a:avLst/>
        </a:prstGeom>
        <a:solidFill>
          <a:srgbClr val="002F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Filters</a:t>
          </a:r>
        </a:p>
      </xdr:txBody>
    </xdr:sp>
    <xdr:clientData/>
  </xdr:twoCellAnchor>
  <xdr:twoCellAnchor>
    <xdr:from>
      <xdr:col>0</xdr:col>
      <xdr:colOff>28575</xdr:colOff>
      <xdr:row>3</xdr:row>
      <xdr:rowOff>161925</xdr:rowOff>
    </xdr:from>
    <xdr:to>
      <xdr:col>3</xdr:col>
      <xdr:colOff>255270</xdr:colOff>
      <xdr:row>3</xdr:row>
      <xdr:rowOff>161925</xdr:rowOff>
    </xdr:to>
    <xdr:cxnSp macro="">
      <xdr:nvCxnSpPr>
        <xdr:cNvPr id="189" name="Straight Connector 188">
          <a:extLst>
            <a:ext uri="{FF2B5EF4-FFF2-40B4-BE49-F238E27FC236}">
              <a16:creationId xmlns:a16="http://schemas.microsoft.com/office/drawing/2014/main" id="{00000000-0008-0000-0200-0000BD000000}"/>
            </a:ext>
          </a:extLst>
        </xdr:cNvPr>
        <xdr:cNvCxnSpPr/>
      </xdr:nvCxnSpPr>
      <xdr:spPr>
        <a:xfrm>
          <a:off x="28575" y="710565"/>
          <a:ext cx="205549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xdr:colOff>
      <xdr:row>2</xdr:row>
      <xdr:rowOff>9525</xdr:rowOff>
    </xdr:from>
    <xdr:to>
      <xdr:col>3</xdr:col>
      <xdr:colOff>255270</xdr:colOff>
      <xdr:row>2</xdr:row>
      <xdr:rowOff>9525</xdr:rowOff>
    </xdr:to>
    <xdr:cxnSp macro="">
      <xdr:nvCxnSpPr>
        <xdr:cNvPr id="190" name="Straight Connector 189">
          <a:extLst>
            <a:ext uri="{FF2B5EF4-FFF2-40B4-BE49-F238E27FC236}">
              <a16:creationId xmlns:a16="http://schemas.microsoft.com/office/drawing/2014/main" id="{00000000-0008-0000-0200-0000BE000000}"/>
            </a:ext>
          </a:extLst>
        </xdr:cNvPr>
        <xdr:cNvCxnSpPr/>
      </xdr:nvCxnSpPr>
      <xdr:spPr>
        <a:xfrm>
          <a:off x="28575" y="375285"/>
          <a:ext cx="205549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xdr:row>
      <xdr:rowOff>0</xdr:rowOff>
    </xdr:from>
    <xdr:to>
      <xdr:col>3</xdr:col>
      <xdr:colOff>247543</xdr:colOff>
      <xdr:row>4</xdr:row>
      <xdr:rowOff>0</xdr:rowOff>
    </xdr:to>
    <xdr:sp macro="" textlink="">
      <xdr:nvSpPr>
        <xdr:cNvPr id="191" name="filter">
          <a:extLst>
            <a:ext uri="{FF2B5EF4-FFF2-40B4-BE49-F238E27FC236}">
              <a16:creationId xmlns:a16="http://schemas.microsoft.com/office/drawing/2014/main" id="{00000000-0008-0000-0200-0000BF000000}"/>
            </a:ext>
          </a:extLst>
        </xdr:cNvPr>
        <xdr:cNvSpPr txBox="1"/>
      </xdr:nvSpPr>
      <xdr:spPr>
        <a:xfrm>
          <a:off x="0" y="365760"/>
          <a:ext cx="2076343" cy="365760"/>
        </a:xfrm>
        <a:prstGeom prst="rect">
          <a:avLst/>
        </a:prstGeom>
        <a:solidFill>
          <a:srgbClr val="C1121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Add Filters</a:t>
          </a:r>
        </a:p>
      </xdr:txBody>
    </xdr:sp>
    <xdr:clientData/>
  </xdr:twoCellAnchor>
  <xdr:twoCellAnchor>
    <xdr:from>
      <xdr:col>0</xdr:col>
      <xdr:colOff>438150</xdr:colOff>
      <xdr:row>0</xdr:row>
      <xdr:rowOff>0</xdr:rowOff>
    </xdr:from>
    <xdr:to>
      <xdr:col>2</xdr:col>
      <xdr:colOff>582930</xdr:colOff>
      <xdr:row>2</xdr:row>
      <xdr:rowOff>0</xdr:rowOff>
    </xdr:to>
    <xdr:sp macro="" textlink="">
      <xdr:nvSpPr>
        <xdr:cNvPr id="12288" name="TextBox 12287">
          <a:extLst>
            <a:ext uri="{FF2B5EF4-FFF2-40B4-BE49-F238E27FC236}">
              <a16:creationId xmlns:a16="http://schemas.microsoft.com/office/drawing/2014/main" id="{00000000-0008-0000-0200-000000300000}"/>
            </a:ext>
          </a:extLst>
        </xdr:cNvPr>
        <xdr:cNvSpPr txBox="1"/>
      </xdr:nvSpPr>
      <xdr:spPr>
        <a:xfrm>
          <a:off x="438150" y="0"/>
          <a:ext cx="136398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twoCellAnchor editAs="oneCell">
    <xdr:from>
      <xdr:col>0</xdr:col>
      <xdr:colOff>403410</xdr:colOff>
      <xdr:row>10</xdr:row>
      <xdr:rowOff>144780</xdr:rowOff>
    </xdr:from>
    <xdr:to>
      <xdr:col>2</xdr:col>
      <xdr:colOff>419100</xdr:colOff>
      <xdr:row>21</xdr:row>
      <xdr:rowOff>44825</xdr:rowOff>
    </xdr:to>
    <mc:AlternateContent xmlns:mc="http://schemas.openxmlformats.org/markup-compatibility/2006" xmlns:a14="http://schemas.microsoft.com/office/drawing/2010/main">
      <mc:Choice Requires="a14">
        <xdr:graphicFrame macro="">
          <xdr:nvGraphicFramePr>
            <xdr:cNvPr id="12290" name="Partner.Partner 3">
              <a:extLst>
                <a:ext uri="{FF2B5EF4-FFF2-40B4-BE49-F238E27FC236}">
                  <a16:creationId xmlns:a16="http://schemas.microsoft.com/office/drawing/2014/main" id="{00000000-0008-0000-0200-000002300000}"/>
                </a:ext>
              </a:extLst>
            </xdr:cNvPr>
            <xdr:cNvGraphicFramePr/>
          </xdr:nvGraphicFramePr>
          <xdr:xfrm>
            <a:off x="0" y="0"/>
            <a:ext cx="0" cy="0"/>
          </xdr:xfrm>
          <a:graphic>
            <a:graphicData uri="http://schemas.microsoft.com/office/drawing/2010/slicer">
              <sle:slicer xmlns:sle="http://schemas.microsoft.com/office/drawing/2010/slicer" name="Partner.Partner 3"/>
            </a:graphicData>
          </a:graphic>
        </xdr:graphicFrame>
      </mc:Choice>
      <mc:Fallback xmlns="">
        <xdr:sp macro="" textlink="">
          <xdr:nvSpPr>
            <xdr:cNvPr id="0" name=""/>
            <xdr:cNvSpPr>
              <a:spLocks noTextEdit="1"/>
            </xdr:cNvSpPr>
          </xdr:nvSpPr>
          <xdr:spPr>
            <a:xfrm>
              <a:off x="403410" y="2161635"/>
              <a:ext cx="1234890" cy="17236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419100</xdr:colOff>
      <xdr:row>4</xdr:row>
      <xdr:rowOff>76201</xdr:rowOff>
    </xdr:from>
    <xdr:to>
      <xdr:col>2</xdr:col>
      <xdr:colOff>419100</xdr:colOff>
      <xdr:row>10</xdr:row>
      <xdr:rowOff>90519</xdr:rowOff>
    </xdr:to>
    <mc:AlternateContent xmlns:mc="http://schemas.openxmlformats.org/markup-compatibility/2006" xmlns:a14="http://schemas.microsoft.com/office/drawing/2010/main">
      <mc:Choice Requires="a14">
        <xdr:graphicFrame macro="">
          <xdr:nvGraphicFramePr>
            <xdr:cNvPr id="12291" name="Region 3">
              <a:extLst>
                <a:ext uri="{FF2B5EF4-FFF2-40B4-BE49-F238E27FC236}">
                  <a16:creationId xmlns:a16="http://schemas.microsoft.com/office/drawing/2014/main" id="{00000000-0008-0000-0200-000003300000}"/>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304800" y="960422"/>
              <a:ext cx="1365896" cy="9230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383231</xdr:colOff>
      <xdr:row>21</xdr:row>
      <xdr:rowOff>106680</xdr:rowOff>
    </xdr:from>
    <xdr:to>
      <xdr:col>2</xdr:col>
      <xdr:colOff>388621</xdr:colOff>
      <xdr:row>33</xdr:row>
      <xdr:rowOff>73959</xdr:rowOff>
    </xdr:to>
    <mc:AlternateContent xmlns:mc="http://schemas.openxmlformats.org/markup-compatibility/2006" xmlns:a14="http://schemas.microsoft.com/office/drawing/2010/main">
      <mc:Choice Requires="a14">
        <xdr:graphicFrame macro="">
          <xdr:nvGraphicFramePr>
            <xdr:cNvPr id="12292" name="Product.Product Code 3">
              <a:extLst>
                <a:ext uri="{FF2B5EF4-FFF2-40B4-BE49-F238E27FC236}">
                  <a16:creationId xmlns:a16="http://schemas.microsoft.com/office/drawing/2014/main" id="{00000000-0008-0000-0200-000004300000}"/>
                </a:ext>
              </a:extLst>
            </xdr:cNvPr>
            <xdr:cNvGraphicFramePr/>
          </xdr:nvGraphicFramePr>
          <xdr:xfrm>
            <a:off x="0" y="0"/>
            <a:ext cx="0" cy="0"/>
          </xdr:xfrm>
          <a:graphic>
            <a:graphicData uri="http://schemas.microsoft.com/office/drawing/2010/slicer">
              <sle:slicer xmlns:sle="http://schemas.microsoft.com/office/drawing/2010/slicer" name="Product.Product Code 3"/>
            </a:graphicData>
          </a:graphic>
        </xdr:graphicFrame>
      </mc:Choice>
      <mc:Fallback xmlns="">
        <xdr:sp macro="" textlink="">
          <xdr:nvSpPr>
            <xdr:cNvPr id="0" name=""/>
            <xdr:cNvSpPr>
              <a:spLocks noTextEdit="1"/>
            </xdr:cNvSpPr>
          </xdr:nvSpPr>
          <xdr:spPr>
            <a:xfrm>
              <a:off x="383231" y="3947160"/>
              <a:ext cx="1224590" cy="21618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358140</xdr:colOff>
          <xdr:row>33</xdr:row>
          <xdr:rowOff>144780</xdr:rowOff>
        </xdr:from>
        <xdr:to>
          <xdr:col>2</xdr:col>
          <xdr:colOff>411480</xdr:colOff>
          <xdr:row>35</xdr:row>
          <xdr:rowOff>83820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Reset Filter (s)</a:t>
              </a:r>
            </a:p>
          </xdr:txBody>
        </xdr:sp>
        <xdr:clientData fPrintsWithSheet="0"/>
      </xdr:twoCellAnchor>
    </mc:Choice>
    <mc:Fallback/>
  </mc:AlternateContent>
  <xdr:oneCellAnchor>
    <xdr:from>
      <xdr:col>8</xdr:col>
      <xdr:colOff>323849</xdr:colOff>
      <xdr:row>0</xdr:row>
      <xdr:rowOff>76201</xdr:rowOff>
    </xdr:from>
    <xdr:ext cx="4619625" cy="381000"/>
    <xdr:sp macro="" textlink="">
      <xdr:nvSpPr>
        <xdr:cNvPr id="183" name="Rectangle 182">
          <a:extLst>
            <a:ext uri="{FF2B5EF4-FFF2-40B4-BE49-F238E27FC236}">
              <a16:creationId xmlns:a16="http://schemas.microsoft.com/office/drawing/2014/main" id="{00000000-0008-0000-0200-0000B7000000}"/>
            </a:ext>
          </a:extLst>
        </xdr:cNvPr>
        <xdr:cNvSpPr/>
      </xdr:nvSpPr>
      <xdr:spPr>
        <a:xfrm>
          <a:off x="5200649" y="76201"/>
          <a:ext cx="4619625" cy="381000"/>
        </a:xfrm>
        <a:prstGeom prst="rect">
          <a:avLst/>
        </a:prstGeom>
        <a:noFill/>
      </xdr:spPr>
      <xdr:txBody>
        <a:bodyPr wrap="none" lIns="91440" tIns="45720" rIns="91440" bIns="45720">
          <a:noAutofit/>
        </a:bodyPr>
        <a:lstStyle/>
        <a:p>
          <a:pPr algn="ctr"/>
          <a:r>
            <a:rPr lang="en-US" sz="2400" b="0" cap="none" spc="0">
              <a:ln w="0"/>
              <a:solidFill>
                <a:schemeClr val="bg1"/>
              </a:solidFill>
              <a:effectLst>
                <a:outerShdw blurRad="38100" dist="19050" dir="2700000" algn="tl" rotWithShape="0">
                  <a:schemeClr val="dk1">
                    <a:alpha val="40000"/>
                  </a:schemeClr>
                </a:outerShdw>
              </a:effectLst>
            </a:rPr>
            <a:t>SALES</a:t>
          </a:r>
          <a:r>
            <a:rPr lang="en-US" sz="2400" b="0" cap="none" spc="0" baseline="0">
              <a:ln w="0"/>
              <a:solidFill>
                <a:schemeClr val="bg1"/>
              </a:solidFill>
              <a:effectLst>
                <a:outerShdw blurRad="38100" dist="19050" dir="2700000" algn="tl" rotWithShape="0">
                  <a:schemeClr val="dk1">
                    <a:alpha val="40000"/>
                  </a:schemeClr>
                </a:outerShdw>
              </a:effectLst>
            </a:rPr>
            <a:t> </a:t>
          </a:r>
          <a:r>
            <a:rPr lang="en-US" sz="2400" b="0" cap="none" spc="0">
              <a:ln w="0"/>
              <a:solidFill>
                <a:schemeClr val="bg1"/>
              </a:solidFill>
              <a:effectLst>
                <a:outerShdw blurRad="38100" dist="19050" dir="2700000" algn="tl" rotWithShape="0">
                  <a:schemeClr val="dk1">
                    <a:alpha val="40000"/>
                  </a:schemeClr>
                </a:outerShdw>
              </a:effectLst>
            </a:rPr>
            <a:t>OPPORTUNITY</a:t>
          </a:r>
          <a:r>
            <a:rPr lang="en-US" sz="2400" b="0" cap="none" spc="0" baseline="0">
              <a:ln w="0"/>
              <a:solidFill>
                <a:schemeClr val="bg1"/>
              </a:solidFill>
              <a:effectLst>
                <a:outerShdw blurRad="38100" dist="19050" dir="2700000" algn="tl" rotWithShape="0">
                  <a:schemeClr val="dk1">
                    <a:alpha val="40000"/>
                  </a:schemeClr>
                </a:outerShdw>
              </a:effectLst>
            </a:rPr>
            <a:t> MONITORING</a:t>
          </a:r>
          <a:endParaRPr lang="en-US" sz="2400" b="0" cap="none" spc="0">
            <a:ln w="0"/>
            <a:solidFill>
              <a:schemeClr val="bg1"/>
            </a:solidFill>
            <a:effectLst>
              <a:outerShdw blurRad="38100" dist="19050" dir="2700000" algn="tl" rotWithShape="0">
                <a:schemeClr val="dk1">
                  <a:alpha val="40000"/>
                </a:schemeClr>
              </a:outerShdw>
            </a:effectLst>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ivani Girme" refreshedDate="45325.630960416667" createdVersion="8" refreshedVersion="8" minRefreshableVersion="3" recordCount="486" xr:uid="{9B2F7414-BCD7-40AA-9A33-ED904F267F40}">
  <cacheSource type="worksheet">
    <worksheetSource name="Fact"/>
  </cacheSource>
  <cacheFields count="31">
    <cacheField name="EstimatedCloseDate" numFmtId="22">
      <sharedItems containsSemiMixedTypes="0" containsNonDate="0" containsDate="1" containsString="0" minDate="2015-01-01T10:59:00" maxDate="2015-12-31T10:59:00"/>
    </cacheField>
    <cacheField name="Opportunity ID" numFmtId="0">
      <sharedItems containsSemiMixedTypes="0" containsString="0" containsNumber="1" containsInteger="1" minValue="1" maxValue="486"/>
    </cacheField>
    <cacheField name="Sales Stage ID" numFmtId="0">
      <sharedItems containsSemiMixedTypes="0" containsString="0" containsNumber="1" containsInteger="1" minValue="1" maxValue="5"/>
    </cacheField>
    <cacheField name="Account ID" numFmtId="0">
      <sharedItems containsSemiMixedTypes="0" containsString="0" containsNumber="1" containsInteger="1" minValue="1" maxValue="357"/>
    </cacheField>
    <cacheField name="Partner ID" numFmtId="0">
      <sharedItems containsSemiMixedTypes="0" containsString="0" containsNumber="1" containsInteger="1" minValue="1" maxValue="101"/>
    </cacheField>
    <cacheField name="Product ID" numFmtId="0">
      <sharedItems containsSemiMixedTypes="0" containsString="0" containsNumber="1" containsInteger="1" minValue="1" maxValue="25"/>
    </cacheField>
    <cacheField name="ProductRevenue" numFmtId="0">
      <sharedItems containsSemiMixedTypes="0" containsString="0" containsNumber="1" containsInteger="1" minValue="23725" maxValue="12166529"/>
    </cacheField>
    <cacheField name="FactoredProductRevenue" numFmtId="164">
      <sharedItems containsSemiMixedTypes="0" containsString="0" containsNumber="1" containsInteger="1" minValue="2373" maxValue="7362270" count="484">
        <n v="18925"/>
        <n v="2470"/>
        <n v="21781"/>
        <n v="2373"/>
        <n v="6700"/>
        <n v="2593"/>
        <n v="84392"/>
        <n v="1162234"/>
        <n v="248677"/>
        <n v="174486"/>
        <n v="350321"/>
        <n v="927182"/>
        <n v="347298"/>
        <n v="617111"/>
        <n v="674691"/>
        <n v="639635"/>
        <n v="96398"/>
        <n v="1978520"/>
        <n v="108835"/>
        <n v="2524958"/>
        <n v="788991"/>
        <n v="712774"/>
        <n v="888002"/>
        <n v="662864"/>
        <n v="977761"/>
        <n v="2379200"/>
        <n v="3381775"/>
        <n v="514597"/>
        <n v="1204532"/>
        <n v="630623"/>
        <n v="321625"/>
        <n v="157161"/>
        <n v="167190"/>
        <n v="720550"/>
        <n v="1265486"/>
        <n v="2400982"/>
        <n v="2770806"/>
        <n v="486289"/>
        <n v="2520978"/>
        <n v="1837127"/>
        <n v="643364"/>
        <n v="23661"/>
        <n v="933342"/>
        <n v="701262"/>
        <n v="835707"/>
        <n v="324721"/>
        <n v="821603"/>
        <n v="95680"/>
        <n v="1034288"/>
        <n v="14149"/>
        <n v="1002195"/>
        <n v="213879"/>
        <n v="4782218"/>
        <n v="437158"/>
        <n v="623156"/>
        <n v="14040"/>
        <n v="369541"/>
        <n v="525670"/>
        <n v="120563"/>
        <n v="832674"/>
        <n v="2874730"/>
        <n v="2096916"/>
        <n v="568864"/>
        <n v="451763"/>
        <n v="284732"/>
        <n v="1354868"/>
        <n v="683546"/>
        <n v="666814"/>
        <n v="541421"/>
        <n v="3501384"/>
        <n v="1114117"/>
        <n v="1430646"/>
        <n v="255863"/>
        <n v="615755"/>
        <n v="496361"/>
        <n v="529450"/>
        <n v="44842"/>
        <n v="978054"/>
        <n v="233252"/>
        <n v="575092"/>
        <n v="186605"/>
        <n v="326971"/>
        <n v="35698"/>
        <n v="679383"/>
        <n v="556392"/>
        <n v="66412"/>
        <n v="732978"/>
        <n v="4389866"/>
        <n v="633881"/>
        <n v="388694"/>
        <n v="763243"/>
        <n v="254074"/>
        <n v="3533878"/>
        <n v="1098457"/>
        <n v="441927"/>
        <n v="2125749"/>
        <n v="238562"/>
        <n v="4166936"/>
        <n v="2808445"/>
        <n v="109730"/>
        <n v="1058455"/>
        <n v="252924"/>
        <n v="404733"/>
        <n v="653182"/>
        <n v="495008"/>
        <n v="578674"/>
        <n v="1167895"/>
        <n v="893842"/>
        <n v="4615886"/>
        <n v="3100329"/>
        <n v="42500"/>
        <n v="295611"/>
        <n v="764805"/>
        <n v="1014294"/>
        <n v="2013368"/>
        <n v="2999898"/>
        <n v="2894482"/>
        <n v="238142"/>
        <n v="1130330"/>
        <n v="25500"/>
        <n v="1306759"/>
        <n v="142003"/>
        <n v="321427"/>
        <n v="2431194"/>
        <n v="143328"/>
        <n v="583337"/>
        <n v="7362270"/>
        <n v="247548"/>
        <n v="618037"/>
        <n v="942332"/>
        <n v="653137"/>
        <n v="1132959"/>
        <n v="324917"/>
        <n v="1848334"/>
        <n v="922084"/>
        <n v="5522034"/>
        <n v="748760"/>
        <n v="503389"/>
        <n v="69810"/>
        <n v="1058990"/>
        <n v="3253582"/>
        <n v="1989262"/>
        <n v="174745"/>
        <n v="478067"/>
        <n v="993855"/>
        <n v="2152183"/>
        <n v="216928"/>
        <n v="1808104"/>
        <n v="2115908"/>
        <n v="269603"/>
        <n v="219746"/>
        <n v="2270039"/>
        <n v="1483880"/>
        <n v="121106"/>
        <n v="1128878"/>
        <n v="759870"/>
        <n v="269112"/>
        <n v="92595"/>
        <n v="5270162"/>
        <n v="4864806"/>
        <n v="1428888"/>
        <n v="1390307"/>
        <n v="2231380"/>
        <n v="267562"/>
        <n v="386179"/>
        <n v="917059"/>
        <n v="313102"/>
        <n v="310872"/>
        <n v="569129"/>
        <n v="71370"/>
        <n v="100942"/>
        <n v="633592"/>
        <n v="563355"/>
        <n v="256752"/>
        <n v="7332"/>
        <n v="37891"/>
        <n v="640702"/>
        <n v="329210"/>
        <n v="186178"/>
        <n v="424378"/>
        <n v="205169"/>
        <n v="492276"/>
        <n v="884603"/>
        <n v="104770"/>
        <n v="117433"/>
        <n v="334703"/>
        <n v="332001"/>
        <n v="462756"/>
        <n v="1463763"/>
        <n v="804068"/>
        <n v="405395"/>
        <n v="9439"/>
        <n v="216547"/>
        <n v="549990"/>
        <n v="889173"/>
        <n v="789359"/>
        <n v="2693344"/>
        <n v="3504114"/>
        <n v="847883"/>
        <n v="1118095"/>
        <n v="2190015"/>
        <n v="1537700"/>
        <n v="1648828"/>
        <n v="1509215"/>
        <n v="6125"/>
        <n v="734449"/>
        <n v="1062876"/>
        <n v="474989"/>
        <n v="697132"/>
        <n v="19925"/>
        <n v="3062834"/>
        <n v="1592449"/>
        <n v="90778"/>
        <n v="228263"/>
        <n v="702718"/>
        <n v="971481"/>
        <n v="620373"/>
        <n v="952156"/>
        <n v="580292"/>
        <n v="976875"/>
        <n v="700348"/>
        <n v="839279"/>
        <n v="3721385"/>
        <n v="3626947"/>
        <n v="822351"/>
        <n v="160582"/>
        <n v="18832"/>
        <n v="413938"/>
        <n v="149406"/>
        <n v="922231"/>
        <n v="594828"/>
        <n v="6616847"/>
        <n v="1985520"/>
        <n v="679464"/>
        <n v="5833273"/>
        <n v="775947"/>
        <n v="719708"/>
        <n v="3012271"/>
        <n v="260394"/>
        <n v="748071"/>
        <n v="215408"/>
        <n v="591529"/>
        <n v="567233"/>
        <n v="1153995"/>
        <n v="32842"/>
        <n v="1017840"/>
        <n v="888653"/>
        <n v="1093749"/>
        <n v="351770"/>
        <n v="1008301"/>
        <n v="666913"/>
        <n v="131510"/>
        <n v="736357"/>
        <n v="1243577"/>
        <n v="243556"/>
        <n v="31983"/>
        <n v="145629"/>
        <n v="6192981"/>
        <n v="975730"/>
        <n v="70282"/>
        <n v="1728196"/>
        <n v="48238"/>
        <n v="1881787"/>
        <n v="114776"/>
        <n v="601128"/>
        <n v="719539"/>
        <n v="1200857"/>
        <n v="498067"/>
        <n v="623836"/>
        <n v="320618"/>
        <n v="637135"/>
        <n v="365631"/>
        <n v="1585121"/>
        <n v="1363651"/>
        <n v="1601474"/>
        <n v="1265260"/>
        <n v="748593"/>
        <n v="1216653"/>
        <n v="237934"/>
        <n v="2084041"/>
        <n v="1014215"/>
        <n v="925424"/>
        <n v="897617"/>
        <n v="649782"/>
        <n v="670383"/>
        <n v="220390"/>
        <n v="1170614"/>
        <n v="170826"/>
        <n v="351594"/>
        <n v="1252240"/>
        <n v="611927"/>
        <n v="592084"/>
        <n v="426330"/>
        <n v="868217"/>
        <n v="2788087"/>
        <n v="2014003"/>
        <n v="3235071"/>
        <n v="16662"/>
        <n v="165079"/>
        <n v="1898536"/>
        <n v="602276"/>
        <n v="166704"/>
        <n v="723444"/>
        <n v="4968995"/>
        <n v="576755"/>
        <n v="1273852"/>
        <n v="215338"/>
        <n v="3067349"/>
        <n v="1623020"/>
        <n v="774936"/>
        <n v="487185"/>
        <n v="1127557"/>
        <n v="390587"/>
        <n v="171348"/>
        <n v="339742"/>
        <n v="2078998"/>
        <n v="1879025"/>
        <n v="465070"/>
        <n v="1924208"/>
        <n v="3083226"/>
        <n v="213570"/>
        <n v="416048"/>
        <n v="93929"/>
        <n v="325142"/>
        <n v="59009"/>
        <n v="592967"/>
        <n v="253203"/>
        <n v="638959"/>
        <n v="351434"/>
        <n v="275819"/>
        <n v="337831"/>
        <n v="882118"/>
        <n v="581292"/>
        <n v="769567"/>
        <n v="616812"/>
        <n v="1225706"/>
        <n v="1022462"/>
        <n v="2868457"/>
        <n v="343643"/>
        <n v="25316"/>
        <n v="1161049"/>
        <n v="740023"/>
        <n v="283646"/>
        <n v="350192"/>
        <n v="223039"/>
        <n v="440140"/>
        <n v="526140"/>
        <n v="313499"/>
        <n v="1310433"/>
        <n v="113007"/>
        <n v="53561"/>
        <n v="1735533"/>
        <n v="270227"/>
        <n v="153516"/>
        <n v="384586"/>
        <n v="2093066"/>
        <n v="814694"/>
        <n v="920041"/>
        <n v="776866"/>
        <n v="2180441"/>
        <n v="1079234"/>
        <n v="1087688"/>
        <n v="324047"/>
        <n v="1006844"/>
        <n v="313913"/>
        <n v="1035945"/>
        <n v="154153"/>
        <n v="498462"/>
        <n v="545576"/>
        <n v="437051"/>
        <n v="562609"/>
        <n v="59547"/>
        <n v="646132"/>
        <n v="1776716"/>
        <n v="384108"/>
        <n v="578536"/>
        <n v="204333"/>
        <n v="857093"/>
        <n v="424969"/>
        <n v="296041"/>
        <n v="871888"/>
        <n v="238687"/>
        <n v="883026"/>
        <n v="185321"/>
        <n v="983169"/>
        <n v="1134523"/>
        <n v="617079"/>
        <n v="546073"/>
        <n v="97204"/>
        <n v="6593"/>
        <n v="341205"/>
        <n v="598181"/>
        <n v="402240"/>
        <n v="65721"/>
        <n v="3571446"/>
        <n v="502277"/>
        <n v="2025795"/>
        <n v="2837100"/>
        <n v="801887"/>
        <n v="49858"/>
        <n v="590472"/>
        <n v="83346"/>
        <n v="3314616"/>
        <n v="919216"/>
        <n v="49588"/>
        <n v="482681"/>
        <n v="500721"/>
        <n v="1147309"/>
        <n v="694979"/>
        <n v="1910824"/>
        <n v="514695"/>
        <n v="529923"/>
        <n v="64836"/>
        <n v="425483"/>
        <n v="93192"/>
        <n v="113317"/>
        <n v="39754"/>
        <n v="408736"/>
        <n v="1390596"/>
        <n v="1861899"/>
        <n v="868832"/>
        <n v="422644"/>
        <n v="195913"/>
        <n v="621447"/>
        <n v="315274"/>
        <n v="1188880"/>
        <n v="743708"/>
        <n v="34305"/>
        <n v="974690"/>
        <n v="259941"/>
        <n v="20054"/>
        <n v="720910"/>
        <n v="453297"/>
        <n v="267267"/>
        <n v="1626273"/>
        <n v="959724"/>
        <n v="433416"/>
        <n v="530489"/>
        <n v="436015"/>
        <n v="993035"/>
        <n v="393301"/>
        <n v="4350198"/>
        <n v="358380"/>
        <n v="872025"/>
        <n v="833294"/>
        <n v="188746"/>
        <n v="5416058"/>
        <n v="421697"/>
        <n v="5077701"/>
        <n v="367366"/>
        <n v="672979"/>
        <n v="1034444"/>
        <n v="733720"/>
        <n v="1610958"/>
        <n v="135355"/>
        <n v="30533"/>
        <n v="194229"/>
        <n v="847396"/>
        <n v="632975"/>
        <n v="471603"/>
        <n v="800373"/>
        <n v="190117"/>
        <n v="142270"/>
        <n v="5443105"/>
        <n v="1152954"/>
        <n v="960634"/>
        <n v="794099"/>
        <n v="2672243"/>
        <n v="408205"/>
        <n v="1497385"/>
        <n v="400190"/>
        <n v="451355"/>
        <n v="516947"/>
        <n v="439906"/>
        <n v="830434"/>
        <n v="267626"/>
        <n v="322920"/>
        <n v="605520"/>
        <n v="16600"/>
        <n v="146640"/>
        <n v="4940"/>
        <n v="12408"/>
        <n v="16512"/>
        <n v="8036"/>
      </sharedItems>
    </cacheField>
    <cacheField name="Create Date" numFmtId="22">
      <sharedItems containsSemiMixedTypes="0" containsNonDate="0" containsDate="1" containsString="0" minDate="1899-12-31T00:00:00" maxDate="1900-01-31T00:00:00"/>
    </cacheField>
    <cacheField name="Opportunity Days" numFmtId="0">
      <sharedItems containsSemiMixedTypes="0" containsString="0" containsNumber="1" containsInteger="1" minValue="365" maxValue="725"/>
    </cacheField>
    <cacheField name="Year" numFmtId="0">
      <sharedItems containsSemiMixedTypes="0" containsString="0" containsNumber="1" containsInteger="1" minValue="2015" maxValue="2015" count="1">
        <n v="2015"/>
      </sharedItems>
    </cacheField>
    <cacheField name="Month_Number" numFmtId="0">
      <sharedItems containsSemiMixedTypes="0" containsString="0" containsNumber="1" containsInteger="1" minValue="1" maxValue="12"/>
    </cacheField>
    <cacheField name="Month" numFmtId="0">
      <sharedItems count="12">
        <s v="May"/>
        <s v="Jul"/>
        <s v="Jun"/>
        <s v="Oct"/>
        <s v="Nov"/>
        <s v="Sep"/>
        <s v="Dec"/>
        <s v="Feb"/>
        <s v="Apr"/>
        <s v="Jan"/>
        <s v="Mar"/>
        <s v="Aug"/>
      </sharedItems>
    </cacheField>
    <cacheField name="Region" numFmtId="0">
      <sharedItems containsBlank="1" count="4">
        <s v="Central"/>
        <s v="East"/>
        <s v="West"/>
        <m u="1"/>
      </sharedItems>
    </cacheField>
    <cacheField name="Oppurtunity.Name" numFmtId="0">
      <sharedItems/>
    </cacheField>
    <cacheField name="Oppurtunity.Rank" numFmtId="0">
      <sharedItems containsSemiMixedTypes="0" containsString="0" containsNumber="1" containsInteger="1" minValue="1" maxValue="484"/>
    </cacheField>
    <cacheField name="Oppurtunity.SizeID" numFmtId="0">
      <sharedItems containsSemiMixedTypes="0" containsString="0" containsNumber="1" containsInteger="1" minValue="1" maxValue="3"/>
    </cacheField>
    <cacheField name="Oppurtunity.Opportunity Size" numFmtId="0">
      <sharedItems count="3">
        <s v="Small"/>
        <s v="Medium"/>
        <s v="Large"/>
      </sharedItems>
    </cacheField>
    <cacheField name="Oppurtunity.Region" numFmtId="0">
      <sharedItems containsBlank="1" count="4">
        <s v="Central"/>
        <s v="East"/>
        <s v="West"/>
        <m u="1"/>
      </sharedItems>
    </cacheField>
    <cacheField name="Product.Product Code" numFmtId="0">
      <sharedItems count="25">
        <s v="Aqua"/>
        <s v="Talus"/>
        <s v="Fatum"/>
        <s v="Sato"/>
        <s v="Quanti"/>
        <s v="Magis"/>
        <s v="Eligo"/>
        <s v="Ignis"/>
        <s v="Carmen"/>
        <s v="Maximus"/>
        <s v="Juvenis"/>
        <s v="Umbra"/>
        <s v="Paratus"/>
        <s v="Campana"/>
        <s v="Vero"/>
        <s v="Gratus"/>
        <s v="Lacuna"/>
        <s v="Basium"/>
        <s v="Habitus"/>
        <s v="Bellus"/>
        <s v="Recolo"/>
        <s v="Nimis"/>
        <s v="Abbas"/>
        <s v="Omins"/>
        <s v="Decimus"/>
      </sharedItems>
    </cacheField>
    <cacheField name="Partner.Partner" numFmtId="0">
      <sharedItems count="100">
        <s v="Daltdexon"/>
        <s v="Zonronzap"/>
        <s v="Joblamcon"/>
        <s v="Rank-com"/>
        <s v="Operon"/>
        <s v="fasetone"/>
        <s v="Hayit"/>
        <s v="Sontaxon"/>
        <s v="Canezap"/>
        <s v="Damlane"/>
        <s v="Ice-find"/>
        <s v="Is-technology"/>
        <s v="Free-electronics"/>
        <s v="Quofase"/>
        <s v="Dantech"/>
        <s v="plex-holdings"/>
        <s v="Overhigh"/>
        <s v="Stimsanlux"/>
        <s v="Dripstrip"/>
        <s v="sumdrill"/>
        <s v="bamtone"/>
        <s v="Direct"/>
        <s v="Goldenstreet"/>
        <s v="quotechi"/>
        <s v="Medfax"/>
        <s v="Quadzoom"/>
        <s v="kan-dom"/>
        <s v="zonstrip"/>
        <s v="Quadtex"/>
        <s v="Nimdax"/>
        <s v="Quadsoloace"/>
        <s v="Dentojob"/>
        <s v="Ventolane"/>
        <s v="Dalttouch"/>
        <s v="Unaquoing"/>
        <s v="Konktom"/>
        <s v="Tamhow"/>
        <s v="Suntaxon"/>
        <s v="Mathredex"/>
        <s v="Vaiadocon"/>
        <s v="Bamgreen"/>
        <s v="biotom"/>
        <s v="Triohow"/>
        <s v="Redunilux"/>
        <s v="Quo-planet"/>
        <s v="Zotcare"/>
        <s v="Zoomtone"/>
        <s v="Konkdom"/>
        <s v="Intechi"/>
        <s v="Duo-tech"/>
        <s v="Hotlam"/>
        <s v="Hotlane"/>
        <s v="Quotein"/>
        <s v="Plexsolfix"/>
        <s v="movedex"/>
        <s v="ice-lex"/>
        <s v="Planethouse"/>
        <s v="Xx-trans"/>
        <s v="Fincom"/>
        <s v="Zaamphase"/>
        <s v="Stanfan"/>
        <s v="Acegreen"/>
        <s v="Drillelectronics"/>
        <s v="biglax"/>
        <s v="Vivastreet"/>
        <s v="Konzozdax"/>
        <s v="Flexlax"/>
        <s v="Trioice"/>
        <s v="Zummedtech"/>
        <s v="Doublestreet"/>
        <s v="tamptrax"/>
        <s v="ronplex"/>
        <s v="Hottouch"/>
        <s v="Indikaylax"/>
        <s v="Jaytam"/>
        <s v="Plextom"/>
        <s v="Songreen"/>
        <s v="Yearhouse"/>
        <s v="Ganjacore"/>
        <s v="Strongzone"/>
        <s v="Kanlam"/>
        <s v="Duotechi"/>
        <s v="Jobice"/>
        <s v="Fixplus"/>
        <s v="Funcane"/>
        <s v="Flexzim"/>
        <s v="Y-anplex"/>
        <s v="Donuniace"/>
        <s v="mediaphase"/>
        <s v="Redplanet"/>
        <s v="Saltstreet"/>
        <s v="Lamtafan"/>
        <s v="lanequote"/>
        <s v="Bigcore"/>
        <s v="Hotaphex"/>
        <s v="Indiity"/>
        <s v="Movestreet"/>
        <s v="gravedrill"/>
        <s v="Tripplenix"/>
        <s v="plexdax"/>
      </sharedItems>
    </cacheField>
    <cacheField name="Partner.Partner Driven" numFmtId="0">
      <sharedItems count="2">
        <s v="Yes"/>
        <s v="No"/>
      </sharedItems>
    </cacheField>
    <cacheField name="salestage.Probability" numFmtId="0">
      <sharedItems containsSemiMixedTypes="0" containsString="0" containsNumber="1" minValue="0.1" maxValue="0.8" count="5">
        <n v="0.2"/>
        <n v="0.1"/>
        <n v="0.4"/>
        <n v="0.6"/>
        <n v="0.8"/>
      </sharedItems>
    </cacheField>
    <cacheField name="salestage.Sales Stage" numFmtId="0">
      <sharedItems count="5">
        <s v="Qualify"/>
        <s v="Lead"/>
        <s v="Solution"/>
        <s v="Proposal"/>
        <s v="Finalize"/>
      </sharedItems>
    </cacheField>
    <cacheField name="Account.Account" numFmtId="0">
      <sharedItems/>
    </cacheField>
    <cacheField name="Account.Region" numFmtId="0">
      <sharedItems/>
    </cacheField>
    <cacheField name="Account.Segment" numFmtId="0">
      <sharedItems count="3">
        <s v="Strategic"/>
        <s v="Small &amp; Medium"/>
        <s v="Large"/>
      </sharedItems>
    </cacheField>
    <cacheField name="PartnerDrivenOpportunitiesPercentage" numFmtId="0">
      <sharedItems containsSemiMixedTypes="0" containsString="0" containsNumber="1" minValue="0" maxValue="2.05761316872428E-3"/>
    </cacheField>
    <cacheField name="Conversion Rates between Sales Stages" numFmtId="0">
      <sharedItems containsMixedTypes="1" containsNumber="1" minValue="1.8518518518518517E-2" maxValue="54"/>
    </cacheField>
    <cacheField name="Field1" numFmtId="0" formula="FactoredProductRevenue/461120899" databaseField="0"/>
    <cacheField name="SuccessRateByOpportunitySize" numFmtId="0" formula="'Oppurtunity.Opportunity Size'/486" databaseField="0"/>
  </cacheFields>
  <extLst>
    <ext xmlns:x14="http://schemas.microsoft.com/office/spreadsheetml/2009/9/main" uri="{725AE2AE-9491-48be-B2B4-4EB974FC3084}">
      <x14:pivotCacheDefinition pivotCacheId="4912592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6">
  <r>
    <d v="2015-05-29T10:59:00"/>
    <n v="1"/>
    <n v="2"/>
    <n v="1"/>
    <n v="1"/>
    <n v="22"/>
    <n v="94627"/>
    <x v="0"/>
    <d v="1900-01-08T00:00:00"/>
    <n v="474"/>
    <x v="0"/>
    <n v="5"/>
    <x v="0"/>
    <x v="0"/>
    <s v="Opportunity #1"/>
    <n v="12"/>
    <n v="1"/>
    <x v="0"/>
    <x v="0"/>
    <x v="0"/>
    <x v="0"/>
    <x v="0"/>
    <x v="0"/>
    <x v="0"/>
    <s v="Toughjob"/>
    <s v="Central"/>
    <x v="0"/>
    <n v="2.05761316872428E-3"/>
    <s v=""/>
  </r>
  <r>
    <d v="2015-07-31T08:00:00"/>
    <n v="2"/>
    <n v="1"/>
    <n v="2"/>
    <n v="2"/>
    <n v="19"/>
    <n v="24700"/>
    <x v="1"/>
    <d v="1900-01-22T00:00:00"/>
    <n v="495"/>
    <x v="0"/>
    <n v="7"/>
    <x v="1"/>
    <x v="1"/>
    <s v="Opportunity #2"/>
    <n v="2"/>
    <n v="1"/>
    <x v="0"/>
    <x v="1"/>
    <x v="1"/>
    <x v="1"/>
    <x v="0"/>
    <x v="1"/>
    <x v="1"/>
    <s v="Mediaplus"/>
    <s v="Central"/>
    <x v="1"/>
    <n v="2.05761316872428E-3"/>
    <n v="2"/>
  </r>
  <r>
    <d v="2015-05-29T10:59:00"/>
    <n v="3"/>
    <n v="1"/>
    <n v="3"/>
    <n v="3"/>
    <n v="6"/>
    <n v="217812"/>
    <x v="2"/>
    <d v="1900-01-04T00:00:00"/>
    <n v="478"/>
    <x v="0"/>
    <n v="5"/>
    <x v="0"/>
    <x v="1"/>
    <s v="Opportunity #3"/>
    <n v="24"/>
    <n v="1"/>
    <x v="0"/>
    <x v="1"/>
    <x v="2"/>
    <x v="2"/>
    <x v="0"/>
    <x v="1"/>
    <x v="1"/>
    <s v="Danmedia"/>
    <s v="West"/>
    <x v="2"/>
    <n v="2.05761316872428E-3"/>
    <n v="1"/>
  </r>
  <r>
    <d v="2015-07-31T08:00:00"/>
    <n v="4"/>
    <n v="1"/>
    <n v="4"/>
    <n v="2"/>
    <n v="18"/>
    <n v="23725"/>
    <x v="3"/>
    <d v="1900-01-14T00:00:00"/>
    <n v="562"/>
    <x v="0"/>
    <n v="7"/>
    <x v="1"/>
    <x v="1"/>
    <s v="Opportunity #4"/>
    <n v="1"/>
    <n v="1"/>
    <x v="0"/>
    <x v="1"/>
    <x v="3"/>
    <x v="1"/>
    <x v="0"/>
    <x v="1"/>
    <x v="1"/>
    <s v="U-tonlam"/>
    <s v="West"/>
    <x v="1"/>
    <n v="2.05761316872428E-3"/>
    <n v="1"/>
  </r>
  <r>
    <d v="2015-07-31T08:00:00"/>
    <n v="5"/>
    <n v="1"/>
    <n v="5"/>
    <n v="4"/>
    <n v="16"/>
    <n v="66995"/>
    <x v="4"/>
    <d v="1900-01-09T00:00:00"/>
    <n v="567"/>
    <x v="0"/>
    <n v="7"/>
    <x v="1"/>
    <x v="2"/>
    <s v="Opportunity #5"/>
    <n v="7"/>
    <n v="1"/>
    <x v="0"/>
    <x v="2"/>
    <x v="4"/>
    <x v="3"/>
    <x v="0"/>
    <x v="1"/>
    <x v="1"/>
    <s v="sancare"/>
    <s v="West"/>
    <x v="0"/>
    <n v="2.05761316872428E-3"/>
    <n v="1"/>
  </r>
  <r>
    <d v="2015-07-31T08:00:00"/>
    <n v="6"/>
    <n v="1"/>
    <n v="6"/>
    <n v="5"/>
    <n v="19"/>
    <n v="25932"/>
    <x v="5"/>
    <d v="1899-12-31T00:00:00"/>
    <n v="456"/>
    <x v="0"/>
    <n v="7"/>
    <x v="1"/>
    <x v="1"/>
    <s v="Opportunity #6"/>
    <n v="3"/>
    <n v="1"/>
    <x v="0"/>
    <x v="1"/>
    <x v="1"/>
    <x v="4"/>
    <x v="0"/>
    <x v="1"/>
    <x v="1"/>
    <s v="Damkix"/>
    <s v="East"/>
    <x v="0"/>
    <n v="2.05761316872428E-3"/>
    <n v="1"/>
  </r>
  <r>
    <d v="2015-07-31T08:00:00"/>
    <n v="7"/>
    <n v="1"/>
    <n v="7"/>
    <n v="2"/>
    <n v="12"/>
    <n v="23725"/>
    <x v="3"/>
    <d v="1900-01-21T00:00:00"/>
    <n v="496"/>
    <x v="0"/>
    <n v="7"/>
    <x v="1"/>
    <x v="1"/>
    <s v="Opportunity #7"/>
    <n v="1"/>
    <n v="1"/>
    <x v="0"/>
    <x v="1"/>
    <x v="5"/>
    <x v="1"/>
    <x v="0"/>
    <x v="1"/>
    <x v="1"/>
    <s v="Zathlex"/>
    <s v="Central"/>
    <x v="2"/>
    <n v="2.05761316872428E-3"/>
    <n v="1"/>
  </r>
  <r>
    <d v="2015-06-01T10:59:00"/>
    <n v="8"/>
    <n v="2"/>
    <n v="8"/>
    <n v="6"/>
    <n v="5"/>
    <n v="421960"/>
    <x v="6"/>
    <d v="1899-12-31T00:00:00"/>
    <n v="396"/>
    <x v="0"/>
    <n v="6"/>
    <x v="2"/>
    <x v="2"/>
    <s v="Opportunity #8"/>
    <n v="37"/>
    <n v="1"/>
    <x v="0"/>
    <x v="2"/>
    <x v="6"/>
    <x v="5"/>
    <x v="0"/>
    <x v="0"/>
    <x v="0"/>
    <s v="Silzoom"/>
    <s v="Central"/>
    <x v="2"/>
    <n v="2.05761316872428E-3"/>
    <n v="0.5"/>
  </r>
  <r>
    <d v="2015-07-31T07:00:00"/>
    <n v="9"/>
    <n v="3"/>
    <n v="9"/>
    <n v="7"/>
    <n v="9"/>
    <n v="2905585"/>
    <x v="7"/>
    <d v="1900-01-04T00:00:00"/>
    <n v="513"/>
    <x v="0"/>
    <n v="7"/>
    <x v="1"/>
    <x v="1"/>
    <s v="Opportunity #9"/>
    <n v="184"/>
    <n v="2"/>
    <x v="1"/>
    <x v="1"/>
    <x v="7"/>
    <x v="6"/>
    <x v="0"/>
    <x v="2"/>
    <x v="2"/>
    <s v="Goldenkix"/>
    <s v="Central"/>
    <x v="0"/>
    <n v="2.05761316872428E-3"/>
    <n v="9"/>
  </r>
  <r>
    <d v="2015-10-31T10:59:00"/>
    <n v="10"/>
    <n v="2"/>
    <n v="10"/>
    <n v="3"/>
    <n v="24"/>
    <n v="1243383"/>
    <x v="8"/>
    <d v="1900-01-14T00:00:00"/>
    <n v="381"/>
    <x v="0"/>
    <n v="10"/>
    <x v="3"/>
    <x v="0"/>
    <s v="Opportunity #10"/>
    <n v="84"/>
    <n v="1"/>
    <x v="0"/>
    <x v="0"/>
    <x v="8"/>
    <x v="2"/>
    <x v="0"/>
    <x v="0"/>
    <x v="0"/>
    <s v="Basetexon"/>
    <s v="East"/>
    <x v="0"/>
    <n v="2.05761316872428E-3"/>
    <n v="0.1111111111111111"/>
  </r>
  <r>
    <d v="2015-11-30T10:59:00"/>
    <n v="11"/>
    <n v="1"/>
    <n v="11"/>
    <n v="8"/>
    <n v="25"/>
    <n v="1744860"/>
    <x v="9"/>
    <d v="1900-01-02T00:00:00"/>
    <n v="696"/>
    <x v="0"/>
    <n v="11"/>
    <x v="4"/>
    <x v="0"/>
    <s v="Opportunity #11"/>
    <n v="116"/>
    <n v="1"/>
    <x v="0"/>
    <x v="0"/>
    <x v="9"/>
    <x v="7"/>
    <x v="0"/>
    <x v="1"/>
    <x v="1"/>
    <s v="zumplus"/>
    <s v="East"/>
    <x v="0"/>
    <n v="2.05761316872428E-3"/>
    <n v="2"/>
  </r>
  <r>
    <d v="2015-10-31T10:59:00"/>
    <n v="12"/>
    <n v="1"/>
    <n v="12"/>
    <n v="8"/>
    <n v="10"/>
    <n v="3503207"/>
    <x v="10"/>
    <d v="1900-01-29T00:00:00"/>
    <n v="427"/>
    <x v="0"/>
    <n v="10"/>
    <x v="3"/>
    <x v="1"/>
    <s v="Opportunity #12"/>
    <n v="217"/>
    <n v="2"/>
    <x v="1"/>
    <x v="1"/>
    <x v="10"/>
    <x v="7"/>
    <x v="0"/>
    <x v="1"/>
    <x v="1"/>
    <s v="Zummadom"/>
    <s v="West"/>
    <x v="0"/>
    <n v="2.05761316872428E-3"/>
    <n v="1"/>
  </r>
  <r>
    <d v="2015-11-30T10:59:00"/>
    <n v="13"/>
    <n v="1"/>
    <n v="13"/>
    <n v="9"/>
    <n v="12"/>
    <n v="9271823"/>
    <x v="11"/>
    <d v="1900-01-17T00:00:00"/>
    <n v="561"/>
    <x v="0"/>
    <n v="11"/>
    <x v="4"/>
    <x v="0"/>
    <s v="Opportunity #13"/>
    <n v="450"/>
    <n v="3"/>
    <x v="2"/>
    <x v="0"/>
    <x v="5"/>
    <x v="8"/>
    <x v="0"/>
    <x v="1"/>
    <x v="1"/>
    <s v="Tampdexon"/>
    <s v="Central"/>
    <x v="2"/>
    <n v="2.05761316872428E-3"/>
    <n v="1"/>
  </r>
  <r>
    <d v="2015-11-30T10:59:00"/>
    <n v="14"/>
    <n v="1"/>
    <n v="14"/>
    <n v="10"/>
    <n v="20"/>
    <n v="3472976"/>
    <x v="12"/>
    <d v="1900-01-05T00:00:00"/>
    <n v="512"/>
    <x v="0"/>
    <n v="11"/>
    <x v="4"/>
    <x v="0"/>
    <s v="Opportunity #14"/>
    <n v="213"/>
    <n v="2"/>
    <x v="1"/>
    <x v="0"/>
    <x v="11"/>
    <x v="9"/>
    <x v="0"/>
    <x v="1"/>
    <x v="1"/>
    <s v="Lanetrans"/>
    <s v="East"/>
    <x v="0"/>
    <n v="2.05761316872428E-3"/>
    <n v="1"/>
  </r>
  <r>
    <d v="2015-09-30T10:59:00"/>
    <n v="15"/>
    <n v="1"/>
    <n v="15"/>
    <n v="11"/>
    <n v="15"/>
    <n v="6171111"/>
    <x v="13"/>
    <d v="1900-01-23T00:00:00"/>
    <n v="583"/>
    <x v="0"/>
    <n v="9"/>
    <x v="5"/>
    <x v="0"/>
    <s v="Opportunity #15"/>
    <n v="351"/>
    <n v="3"/>
    <x v="2"/>
    <x v="0"/>
    <x v="12"/>
    <x v="10"/>
    <x v="0"/>
    <x v="1"/>
    <x v="1"/>
    <s v="Icecore"/>
    <s v="East"/>
    <x v="1"/>
    <n v="2.05761316872428E-3"/>
    <n v="1"/>
  </r>
  <r>
    <d v="2015-09-30T10:59:00"/>
    <n v="16"/>
    <n v="1"/>
    <n v="16"/>
    <n v="12"/>
    <n v="3"/>
    <n v="6746912"/>
    <x v="14"/>
    <d v="1900-01-11T00:00:00"/>
    <n v="567"/>
    <x v="0"/>
    <n v="9"/>
    <x v="5"/>
    <x v="1"/>
    <s v="Opportunity #16"/>
    <n v="377"/>
    <n v="3"/>
    <x v="2"/>
    <x v="1"/>
    <x v="13"/>
    <x v="11"/>
    <x v="0"/>
    <x v="1"/>
    <x v="1"/>
    <s v="zamholdings"/>
    <s v="East"/>
    <x v="2"/>
    <n v="2.05761316872428E-3"/>
    <n v="1"/>
  </r>
  <r>
    <d v="2015-10-31T10:59:00"/>
    <n v="17"/>
    <n v="1"/>
    <n v="17"/>
    <n v="8"/>
    <n v="21"/>
    <n v="6396351"/>
    <x v="15"/>
    <d v="1900-01-02T00:00:00"/>
    <n v="393"/>
    <x v="0"/>
    <n v="10"/>
    <x v="3"/>
    <x v="1"/>
    <s v="Opportunity #17"/>
    <n v="363"/>
    <n v="3"/>
    <x v="2"/>
    <x v="1"/>
    <x v="14"/>
    <x v="7"/>
    <x v="0"/>
    <x v="1"/>
    <x v="1"/>
    <s v="Stanfase"/>
    <s v="East"/>
    <x v="0"/>
    <n v="2.05761316872428E-3"/>
    <n v="1"/>
  </r>
  <r>
    <d v="2015-12-31T10:59:00"/>
    <n v="18"/>
    <n v="1"/>
    <n v="18"/>
    <n v="5"/>
    <n v="24"/>
    <n v="963979"/>
    <x v="16"/>
    <d v="1900-01-14T00:00:00"/>
    <n v="564"/>
    <x v="0"/>
    <n v="12"/>
    <x v="6"/>
    <x v="2"/>
    <s v="Opportunity #18"/>
    <n v="70"/>
    <n v="1"/>
    <x v="0"/>
    <x v="2"/>
    <x v="8"/>
    <x v="4"/>
    <x v="0"/>
    <x v="1"/>
    <x v="1"/>
    <s v="unifase"/>
    <s v="East"/>
    <x v="2"/>
    <n v="2.05761316872428E-3"/>
    <n v="1"/>
  </r>
  <r>
    <d v="2015-09-30T10:59:00"/>
    <n v="19"/>
    <n v="3"/>
    <n v="19"/>
    <n v="12"/>
    <n v="7"/>
    <n v="4946300"/>
    <x v="17"/>
    <d v="1900-01-02T00:00:00"/>
    <n v="484"/>
    <x v="0"/>
    <n v="9"/>
    <x v="5"/>
    <x v="1"/>
    <s v="Opportunity #19"/>
    <n v="288"/>
    <n v="2"/>
    <x v="1"/>
    <x v="1"/>
    <x v="15"/>
    <x v="11"/>
    <x v="0"/>
    <x v="2"/>
    <x v="2"/>
    <s v="Yearhow"/>
    <s v="Central"/>
    <x v="2"/>
    <n v="2.05761316872428E-3"/>
    <n v="4.5"/>
  </r>
  <r>
    <d v="2015-12-31T10:59:00"/>
    <n v="20"/>
    <n v="1"/>
    <n v="20"/>
    <n v="13"/>
    <n v="21"/>
    <n v="1088347"/>
    <x v="18"/>
    <d v="1900-01-18T00:00:00"/>
    <n v="377"/>
    <x v="0"/>
    <n v="12"/>
    <x v="6"/>
    <x v="0"/>
    <s v="Opportunity #20"/>
    <n v="76"/>
    <n v="1"/>
    <x v="0"/>
    <x v="0"/>
    <x v="14"/>
    <x v="12"/>
    <x v="0"/>
    <x v="1"/>
    <x v="1"/>
    <s v="Soltex"/>
    <s v="Central"/>
    <x v="1"/>
    <n v="2.05761316872428E-3"/>
    <n v="0.22222222222222221"/>
  </r>
  <r>
    <d v="2015-07-31T08:00:00"/>
    <n v="21"/>
    <n v="3"/>
    <n v="21"/>
    <n v="14"/>
    <n v="11"/>
    <n v="6312394"/>
    <x v="19"/>
    <d v="1900-01-17T00:00:00"/>
    <n v="378"/>
    <x v="0"/>
    <n v="7"/>
    <x v="1"/>
    <x v="1"/>
    <s v="Opportunity #21"/>
    <n v="358"/>
    <n v="3"/>
    <x v="2"/>
    <x v="1"/>
    <x v="16"/>
    <x v="13"/>
    <x v="0"/>
    <x v="2"/>
    <x v="2"/>
    <s v="Trusthigh"/>
    <s v="East"/>
    <x v="1"/>
    <n v="2.05761316872428E-3"/>
    <n v="4.5"/>
  </r>
  <r>
    <d v="2015-09-30T10:59:00"/>
    <n v="22"/>
    <n v="2"/>
    <n v="22"/>
    <n v="15"/>
    <n v="24"/>
    <n v="3944956"/>
    <x v="20"/>
    <d v="1900-01-24T00:00:00"/>
    <n v="523"/>
    <x v="0"/>
    <n v="9"/>
    <x v="5"/>
    <x v="2"/>
    <s v="Opportunity #22"/>
    <n v="239"/>
    <n v="2"/>
    <x v="1"/>
    <x v="2"/>
    <x v="8"/>
    <x v="14"/>
    <x v="0"/>
    <x v="0"/>
    <x v="0"/>
    <s v="Lamdexon"/>
    <s v="East"/>
    <x v="0"/>
    <n v="2.05761316872428E-3"/>
    <n v="0.1111111111111111"/>
  </r>
  <r>
    <d v="2015-09-30T10:59:00"/>
    <n v="23"/>
    <n v="2"/>
    <n v="23"/>
    <n v="16"/>
    <n v="10"/>
    <n v="3563871"/>
    <x v="21"/>
    <d v="1900-01-25T00:00:00"/>
    <n v="492"/>
    <x v="0"/>
    <n v="9"/>
    <x v="5"/>
    <x v="2"/>
    <s v="Opportunity #23"/>
    <n v="219"/>
    <n v="2"/>
    <x v="1"/>
    <x v="2"/>
    <x v="10"/>
    <x v="15"/>
    <x v="0"/>
    <x v="0"/>
    <x v="0"/>
    <s v="Key-texon"/>
    <s v="West"/>
    <x v="2"/>
    <n v="2.05761316872428E-3"/>
    <n v="1"/>
  </r>
  <r>
    <d v="2015-07-31T08:00:00"/>
    <n v="24"/>
    <n v="1"/>
    <n v="24"/>
    <n v="17"/>
    <n v="19"/>
    <n v="8880021"/>
    <x v="22"/>
    <d v="1900-01-26T00:00:00"/>
    <n v="369"/>
    <x v="0"/>
    <n v="7"/>
    <x v="1"/>
    <x v="1"/>
    <s v="Opportunity #24"/>
    <n v="437"/>
    <n v="3"/>
    <x v="2"/>
    <x v="1"/>
    <x v="1"/>
    <x v="16"/>
    <x v="0"/>
    <x v="1"/>
    <x v="1"/>
    <s v="zonfase"/>
    <s v="Central"/>
    <x v="1"/>
    <n v="2.05761316872428E-3"/>
    <n v="2"/>
  </r>
  <r>
    <d v="2015-09-30T10:59:00"/>
    <n v="25"/>
    <n v="1"/>
    <n v="25"/>
    <n v="3"/>
    <n v="2"/>
    <n v="6628642"/>
    <x v="23"/>
    <d v="1900-01-27T00:00:00"/>
    <n v="490"/>
    <x v="0"/>
    <n v="9"/>
    <x v="5"/>
    <x v="1"/>
    <s v="Opportunity #25"/>
    <n v="371"/>
    <n v="3"/>
    <x v="2"/>
    <x v="1"/>
    <x v="17"/>
    <x v="2"/>
    <x v="0"/>
    <x v="1"/>
    <x v="1"/>
    <s v="Redsollane"/>
    <s v="East"/>
    <x v="1"/>
    <n v="2.05761316872428E-3"/>
    <n v="1"/>
  </r>
  <r>
    <d v="2015-09-30T10:59:00"/>
    <n v="26"/>
    <n v="1"/>
    <n v="26"/>
    <n v="18"/>
    <n v="8"/>
    <n v="9777612"/>
    <x v="24"/>
    <d v="1900-01-03T00:00:00"/>
    <n v="453"/>
    <x v="0"/>
    <n v="9"/>
    <x v="5"/>
    <x v="0"/>
    <s v="Opportunity #26"/>
    <n v="460"/>
    <n v="3"/>
    <x v="2"/>
    <x v="0"/>
    <x v="18"/>
    <x v="17"/>
    <x v="0"/>
    <x v="1"/>
    <x v="1"/>
    <s v="Zummaline"/>
    <s v="Central"/>
    <x v="0"/>
    <n v="2.05761316872428E-3"/>
    <n v="1"/>
  </r>
  <r>
    <d v="2015-02-18T10:59:00"/>
    <n v="27"/>
    <n v="3"/>
    <n v="27"/>
    <n v="19"/>
    <n v="5"/>
    <n v="5948001"/>
    <x v="25"/>
    <d v="1900-01-02T00:00:00"/>
    <n v="411"/>
    <x v="0"/>
    <n v="2"/>
    <x v="7"/>
    <x v="1"/>
    <s v="Opportunity #27"/>
    <n v="338"/>
    <n v="3"/>
    <x v="2"/>
    <x v="1"/>
    <x v="6"/>
    <x v="18"/>
    <x v="0"/>
    <x v="2"/>
    <x v="2"/>
    <s v="Canehouse"/>
    <s v="West"/>
    <x v="2"/>
    <n v="2.05761316872428E-3"/>
    <n v="4.5"/>
  </r>
  <r>
    <d v="2015-02-26T10:59:00"/>
    <n v="28"/>
    <n v="4"/>
    <n v="28"/>
    <n v="8"/>
    <n v="22"/>
    <n v="5636292"/>
    <x v="26"/>
    <d v="1900-01-02T00:00:00"/>
    <n v="419"/>
    <x v="0"/>
    <n v="2"/>
    <x v="7"/>
    <x v="0"/>
    <s v="Opportunity #28"/>
    <n v="324"/>
    <n v="3"/>
    <x v="2"/>
    <x v="0"/>
    <x v="0"/>
    <x v="7"/>
    <x v="0"/>
    <x v="3"/>
    <x v="3"/>
    <s v="stripcorporation"/>
    <s v="East"/>
    <x v="2"/>
    <n v="2.05761316872428E-3"/>
    <n v="3.1111111111111112"/>
  </r>
  <r>
    <d v="2015-07-31T08:00:00"/>
    <n v="29"/>
    <n v="1"/>
    <n v="29"/>
    <n v="20"/>
    <n v="23"/>
    <n v="5145971"/>
    <x v="27"/>
    <d v="1900-01-12T00:00:00"/>
    <n v="444"/>
    <x v="0"/>
    <n v="7"/>
    <x v="1"/>
    <x v="1"/>
    <s v="Opportunity #29"/>
    <n v="303"/>
    <n v="2"/>
    <x v="1"/>
    <x v="1"/>
    <x v="19"/>
    <x v="19"/>
    <x v="0"/>
    <x v="1"/>
    <x v="1"/>
    <s v="vila-tech"/>
    <s v="Central"/>
    <x v="0"/>
    <n v="2.05761316872428E-3"/>
    <n v="7.1428571428571425E-2"/>
  </r>
  <r>
    <d v="2015-04-30T10:59:00"/>
    <n v="30"/>
    <n v="2"/>
    <n v="30"/>
    <n v="8"/>
    <n v="23"/>
    <n v="6022661"/>
    <x v="28"/>
    <d v="1900-01-10T00:00:00"/>
    <n v="474"/>
    <x v="0"/>
    <n v="4"/>
    <x v="8"/>
    <x v="2"/>
    <s v="Opportunity #30"/>
    <n v="344"/>
    <n v="3"/>
    <x v="2"/>
    <x v="2"/>
    <x v="19"/>
    <x v="7"/>
    <x v="0"/>
    <x v="0"/>
    <x v="0"/>
    <s v="Zummaphase"/>
    <s v="Central"/>
    <x v="2"/>
    <n v="2.05761316872428E-3"/>
    <n v="0.5"/>
  </r>
  <r>
    <d v="2015-09-30T10:59:00"/>
    <n v="31"/>
    <n v="1"/>
    <n v="31"/>
    <n v="13"/>
    <n v="15"/>
    <n v="6306225"/>
    <x v="29"/>
    <d v="1900-01-27T00:00:00"/>
    <n v="490"/>
    <x v="0"/>
    <n v="9"/>
    <x v="5"/>
    <x v="2"/>
    <s v="Opportunity #31"/>
    <n v="357"/>
    <n v="3"/>
    <x v="2"/>
    <x v="2"/>
    <x v="12"/>
    <x v="12"/>
    <x v="0"/>
    <x v="1"/>
    <x v="1"/>
    <s v="Zoogreen"/>
    <s v="East"/>
    <x v="0"/>
    <n v="2.05761316872428E-3"/>
    <n v="2"/>
  </r>
  <r>
    <d v="2015-12-31T10:59:00"/>
    <n v="32"/>
    <n v="1"/>
    <n v="32"/>
    <n v="13"/>
    <n v="21"/>
    <n v="3216251"/>
    <x v="30"/>
    <d v="1900-01-16T00:00:00"/>
    <n v="409"/>
    <x v="0"/>
    <n v="12"/>
    <x v="6"/>
    <x v="1"/>
    <s v="Opportunity #32"/>
    <n v="198"/>
    <n v="2"/>
    <x v="1"/>
    <x v="1"/>
    <x v="14"/>
    <x v="12"/>
    <x v="0"/>
    <x v="1"/>
    <x v="1"/>
    <s v="Citycity"/>
    <s v="East"/>
    <x v="2"/>
    <n v="2.05761316872428E-3"/>
    <n v="1"/>
  </r>
  <r>
    <d v="2015-12-31T10:59:00"/>
    <n v="33"/>
    <n v="1"/>
    <n v="33"/>
    <n v="21"/>
    <n v="25"/>
    <n v="1571606"/>
    <x v="31"/>
    <d v="1900-01-12T00:00:00"/>
    <n v="444"/>
    <x v="0"/>
    <n v="12"/>
    <x v="6"/>
    <x v="2"/>
    <s v="Opportunity #33"/>
    <n v="106"/>
    <n v="1"/>
    <x v="0"/>
    <x v="2"/>
    <x v="9"/>
    <x v="20"/>
    <x v="0"/>
    <x v="1"/>
    <x v="1"/>
    <s v="Zaptechno"/>
    <s v="East"/>
    <x v="0"/>
    <n v="2.05761316872428E-3"/>
    <n v="1"/>
  </r>
  <r>
    <d v="2015-05-08T10:59:00"/>
    <n v="34"/>
    <n v="1"/>
    <n v="34"/>
    <n v="22"/>
    <n v="22"/>
    <n v="1671903"/>
    <x v="32"/>
    <d v="1899-12-31T00:00:00"/>
    <n v="461"/>
    <x v="0"/>
    <n v="5"/>
    <x v="0"/>
    <x v="2"/>
    <s v="Opportunity #34"/>
    <n v="112"/>
    <n v="1"/>
    <x v="0"/>
    <x v="2"/>
    <x v="0"/>
    <x v="21"/>
    <x v="1"/>
    <x v="1"/>
    <x v="1"/>
    <s v="tempzoom"/>
    <s v="West"/>
    <x v="1"/>
    <n v="0"/>
    <n v="1"/>
  </r>
  <r>
    <d v="2015-11-30T10:59:00"/>
    <n v="35"/>
    <n v="1"/>
    <n v="14"/>
    <n v="10"/>
    <n v="25"/>
    <n v="7205496"/>
    <x v="33"/>
    <d v="1900-01-26T00:00:00"/>
    <n v="399"/>
    <x v="0"/>
    <n v="11"/>
    <x v="4"/>
    <x v="1"/>
    <s v="Opportunity #35"/>
    <n v="393"/>
    <n v="3"/>
    <x v="2"/>
    <x v="1"/>
    <x v="9"/>
    <x v="9"/>
    <x v="0"/>
    <x v="1"/>
    <x v="1"/>
    <s v="Lanetrans"/>
    <s v="East"/>
    <x v="0"/>
    <n v="2.05761316872428E-3"/>
    <n v="1"/>
  </r>
  <r>
    <d v="2015-01-23T10:59:00"/>
    <n v="36"/>
    <n v="3"/>
    <n v="35"/>
    <n v="22"/>
    <n v="20"/>
    <n v="3163715"/>
    <x v="34"/>
    <d v="1900-01-16T00:00:00"/>
    <n v="371"/>
    <x v="0"/>
    <n v="1"/>
    <x v="9"/>
    <x v="1"/>
    <s v="Opportunity #36"/>
    <n v="193"/>
    <n v="2"/>
    <x v="1"/>
    <x v="1"/>
    <x v="11"/>
    <x v="21"/>
    <x v="1"/>
    <x v="2"/>
    <x v="2"/>
    <s v="Randrill"/>
    <s v="West"/>
    <x v="0"/>
    <n v="0"/>
    <n v="4.5"/>
  </r>
  <r>
    <d v="2015-01-15T10:59:00"/>
    <n v="37"/>
    <n v="4"/>
    <n v="36"/>
    <n v="8"/>
    <n v="5"/>
    <n v="4001636"/>
    <x v="35"/>
    <d v="1900-01-09T00:00:00"/>
    <n v="370"/>
    <x v="0"/>
    <n v="1"/>
    <x v="9"/>
    <x v="1"/>
    <s v="Opportunity #37"/>
    <n v="241"/>
    <n v="2"/>
    <x v="1"/>
    <x v="1"/>
    <x v="6"/>
    <x v="7"/>
    <x v="0"/>
    <x v="3"/>
    <x v="3"/>
    <s v="Quozim"/>
    <s v="Central"/>
    <x v="0"/>
    <n v="2.05761316872428E-3"/>
    <n v="3.1111111111111112"/>
  </r>
  <r>
    <d v="2015-01-18T10:59:00"/>
    <n v="38"/>
    <n v="4"/>
    <n v="23"/>
    <n v="23"/>
    <n v="19"/>
    <n v="4618010"/>
    <x v="36"/>
    <d v="1900-01-17T00:00:00"/>
    <n v="365"/>
    <x v="0"/>
    <n v="1"/>
    <x v="9"/>
    <x v="0"/>
    <s v="Opportunity #38"/>
    <n v="273"/>
    <n v="2"/>
    <x v="1"/>
    <x v="0"/>
    <x v="1"/>
    <x v="22"/>
    <x v="0"/>
    <x v="3"/>
    <x v="3"/>
    <s v="Key-texon"/>
    <s v="West"/>
    <x v="2"/>
    <n v="2.05761316872428E-3"/>
    <n v="1"/>
  </r>
  <r>
    <d v="2015-06-30T10:59:00"/>
    <n v="39"/>
    <n v="1"/>
    <n v="22"/>
    <n v="22"/>
    <n v="17"/>
    <n v="4862891"/>
    <x v="37"/>
    <d v="1900-01-06T00:00:00"/>
    <n v="388"/>
    <x v="0"/>
    <n v="6"/>
    <x v="2"/>
    <x v="2"/>
    <s v="Opportunity #39"/>
    <n v="284"/>
    <n v="2"/>
    <x v="1"/>
    <x v="2"/>
    <x v="20"/>
    <x v="21"/>
    <x v="1"/>
    <x v="1"/>
    <x v="1"/>
    <s v="Lamdexon"/>
    <s v="East"/>
    <x v="0"/>
    <n v="0"/>
    <n v="7.1428571428571425E-2"/>
  </r>
  <r>
    <d v="2015-03-25T10:59:00"/>
    <n v="40"/>
    <n v="4"/>
    <n v="37"/>
    <n v="22"/>
    <n v="3"/>
    <n v="4201630"/>
    <x v="38"/>
    <d v="1900-01-18T00:00:00"/>
    <n v="399"/>
    <x v="0"/>
    <n v="3"/>
    <x v="10"/>
    <x v="1"/>
    <s v="Opportunity #40"/>
    <n v="254"/>
    <n v="2"/>
    <x v="1"/>
    <x v="1"/>
    <x v="13"/>
    <x v="21"/>
    <x v="1"/>
    <x v="3"/>
    <x v="3"/>
    <s v="Scotzuntex"/>
    <s v="East"/>
    <x v="2"/>
    <n v="0"/>
    <n v="14"/>
  </r>
  <r>
    <d v="2015-02-28T10:59:00"/>
    <n v="41"/>
    <n v="3"/>
    <n v="38"/>
    <n v="22"/>
    <n v="13"/>
    <n v="4592818"/>
    <x v="39"/>
    <d v="1900-01-13T00:00:00"/>
    <n v="410"/>
    <x v="0"/>
    <n v="2"/>
    <x v="7"/>
    <x v="0"/>
    <s v="Opportunity #41"/>
    <n v="271"/>
    <n v="2"/>
    <x v="1"/>
    <x v="0"/>
    <x v="21"/>
    <x v="21"/>
    <x v="1"/>
    <x v="2"/>
    <x v="2"/>
    <s v="X-can"/>
    <s v="Central"/>
    <x v="2"/>
    <n v="0"/>
    <n v="0.32142857142857145"/>
  </r>
  <r>
    <d v="2015-12-31T10:59:00"/>
    <n v="42"/>
    <n v="1"/>
    <n v="39"/>
    <n v="22"/>
    <n v="13"/>
    <n v="6433642"/>
    <x v="40"/>
    <d v="1900-01-10T00:00:00"/>
    <n v="538"/>
    <x v="0"/>
    <n v="12"/>
    <x v="6"/>
    <x v="1"/>
    <s v="Opportunity #42"/>
    <n v="365"/>
    <n v="3"/>
    <x v="2"/>
    <x v="1"/>
    <x v="21"/>
    <x v="21"/>
    <x v="1"/>
    <x v="1"/>
    <x v="1"/>
    <s v="ronron"/>
    <s v="West"/>
    <x v="2"/>
    <n v="0"/>
    <n v="0.22222222222222221"/>
  </r>
  <r>
    <d v="2015-10-31T10:59:00"/>
    <n v="43"/>
    <n v="1"/>
    <n v="40"/>
    <n v="14"/>
    <n v="17"/>
    <n v="236607"/>
    <x v="41"/>
    <d v="1900-01-07T00:00:00"/>
    <n v="480"/>
    <x v="0"/>
    <n v="10"/>
    <x v="3"/>
    <x v="0"/>
    <s v="Opportunity #43"/>
    <n v="26"/>
    <n v="1"/>
    <x v="0"/>
    <x v="0"/>
    <x v="20"/>
    <x v="13"/>
    <x v="0"/>
    <x v="1"/>
    <x v="1"/>
    <s v="stimkix"/>
    <s v="East"/>
    <x v="0"/>
    <n v="2.05761316872428E-3"/>
    <n v="1"/>
  </r>
  <r>
    <d v="2015-03-01T10:59:00"/>
    <n v="44"/>
    <n v="1"/>
    <n v="41"/>
    <n v="24"/>
    <n v="18"/>
    <n v="9333422"/>
    <x v="42"/>
    <d v="1899-12-31T00:00:00"/>
    <n v="365"/>
    <x v="0"/>
    <n v="3"/>
    <x v="10"/>
    <x v="0"/>
    <s v="Opportunity #44"/>
    <n v="452"/>
    <n v="3"/>
    <x v="2"/>
    <x v="0"/>
    <x v="3"/>
    <x v="23"/>
    <x v="0"/>
    <x v="1"/>
    <x v="1"/>
    <s v="singlelane"/>
    <s v="Central"/>
    <x v="0"/>
    <n v="2.05761316872428E-3"/>
    <n v="1"/>
  </r>
  <r>
    <d v="2015-11-30T10:59:00"/>
    <n v="45"/>
    <n v="1"/>
    <n v="42"/>
    <n v="25"/>
    <n v="1"/>
    <n v="7012618"/>
    <x v="43"/>
    <d v="1900-01-05T00:00:00"/>
    <n v="542"/>
    <x v="0"/>
    <n v="11"/>
    <x v="4"/>
    <x v="0"/>
    <s v="Opportunity #45"/>
    <n v="386"/>
    <n v="3"/>
    <x v="2"/>
    <x v="0"/>
    <x v="22"/>
    <x v="24"/>
    <x v="0"/>
    <x v="1"/>
    <x v="1"/>
    <s v="Betaity"/>
    <s v="East"/>
    <x v="0"/>
    <n v="2.05761316872428E-3"/>
    <n v="1"/>
  </r>
  <r>
    <d v="2015-12-31T10:59:00"/>
    <n v="46"/>
    <n v="1"/>
    <n v="43"/>
    <n v="26"/>
    <n v="11"/>
    <n v="8357065"/>
    <x v="44"/>
    <d v="1900-01-24T00:00:00"/>
    <n v="432"/>
    <x v="0"/>
    <n v="12"/>
    <x v="6"/>
    <x v="1"/>
    <s v="Opportunity #46"/>
    <n v="425"/>
    <n v="3"/>
    <x v="2"/>
    <x v="1"/>
    <x v="16"/>
    <x v="25"/>
    <x v="0"/>
    <x v="1"/>
    <x v="1"/>
    <s v="Daltnamdax"/>
    <s v="Central"/>
    <x v="1"/>
    <n v="2.05761316872428E-3"/>
    <n v="1"/>
  </r>
  <r>
    <d v="2015-02-27T10:59:00"/>
    <n v="47"/>
    <n v="1"/>
    <n v="44"/>
    <n v="22"/>
    <n v="7"/>
    <n v="3247209"/>
    <x v="45"/>
    <d v="1900-01-04T00:00:00"/>
    <n v="418"/>
    <x v="0"/>
    <n v="2"/>
    <x v="7"/>
    <x v="1"/>
    <s v="Opportunity #47"/>
    <n v="200"/>
    <n v="2"/>
    <x v="1"/>
    <x v="1"/>
    <x v="15"/>
    <x v="21"/>
    <x v="1"/>
    <x v="1"/>
    <x v="1"/>
    <s v="Zimdex"/>
    <s v="West"/>
    <x v="0"/>
    <n v="0"/>
    <n v="1"/>
  </r>
  <r>
    <d v="2015-12-31T10:59:00"/>
    <n v="48"/>
    <n v="1"/>
    <n v="45"/>
    <n v="27"/>
    <n v="20"/>
    <n v="8216030"/>
    <x v="46"/>
    <d v="1900-01-04T00:00:00"/>
    <n v="605"/>
    <x v="0"/>
    <n v="12"/>
    <x v="6"/>
    <x v="0"/>
    <s v="Opportunity #48"/>
    <n v="418"/>
    <n v="3"/>
    <x v="2"/>
    <x v="0"/>
    <x v="11"/>
    <x v="26"/>
    <x v="0"/>
    <x v="1"/>
    <x v="1"/>
    <s v="Lexihigh"/>
    <s v="Central"/>
    <x v="1"/>
    <n v="2.05761316872428E-3"/>
    <n v="1"/>
  </r>
  <r>
    <d v="2015-06-18T10:59:00"/>
    <n v="49"/>
    <n v="3"/>
    <n v="46"/>
    <n v="3"/>
    <n v="25"/>
    <n v="239200"/>
    <x v="47"/>
    <d v="1900-01-04T00:00:00"/>
    <n v="529"/>
    <x v="0"/>
    <n v="6"/>
    <x v="2"/>
    <x v="0"/>
    <s v="Opportunity #49"/>
    <n v="27"/>
    <n v="1"/>
    <x v="0"/>
    <x v="0"/>
    <x v="9"/>
    <x v="2"/>
    <x v="0"/>
    <x v="2"/>
    <x v="2"/>
    <s v="Transphase"/>
    <s v="Central"/>
    <x v="1"/>
    <n v="2.05761316872428E-3"/>
    <n v="4.5"/>
  </r>
  <r>
    <d v="2015-10-31T10:59:00"/>
    <n v="50"/>
    <n v="1"/>
    <n v="11"/>
    <n v="8"/>
    <n v="11"/>
    <n v="10342876"/>
    <x v="48"/>
    <d v="1900-01-18T00:00:00"/>
    <n v="530"/>
    <x v="0"/>
    <n v="10"/>
    <x v="3"/>
    <x v="0"/>
    <s v="Opportunity #50"/>
    <n v="469"/>
    <n v="3"/>
    <x v="2"/>
    <x v="0"/>
    <x v="16"/>
    <x v="7"/>
    <x v="0"/>
    <x v="1"/>
    <x v="1"/>
    <s v="zumplus"/>
    <s v="East"/>
    <x v="0"/>
    <n v="2.05761316872428E-3"/>
    <n v="0.22222222222222221"/>
  </r>
  <r>
    <d v="2015-04-17T10:59:00"/>
    <n v="51"/>
    <n v="3"/>
    <n v="47"/>
    <n v="6"/>
    <n v="3"/>
    <n v="35372"/>
    <x v="49"/>
    <d v="1900-01-15T00:00:00"/>
    <n v="456"/>
    <x v="0"/>
    <n v="4"/>
    <x v="8"/>
    <x v="0"/>
    <s v="Opportunity #51"/>
    <n v="4"/>
    <n v="1"/>
    <x v="0"/>
    <x v="0"/>
    <x v="13"/>
    <x v="5"/>
    <x v="0"/>
    <x v="2"/>
    <x v="2"/>
    <s v="Sanfan"/>
    <s v="West"/>
    <x v="2"/>
    <n v="2.05761316872428E-3"/>
    <n v="4.5"/>
  </r>
  <r>
    <d v="2015-12-31T10:59:00"/>
    <n v="52"/>
    <n v="1"/>
    <n v="48"/>
    <n v="15"/>
    <n v="18"/>
    <n v="10021946"/>
    <x v="50"/>
    <d v="1900-01-22T00:00:00"/>
    <n v="648"/>
    <x v="0"/>
    <n v="12"/>
    <x v="6"/>
    <x v="2"/>
    <s v="Opportunity #52"/>
    <n v="463"/>
    <n v="3"/>
    <x v="2"/>
    <x v="2"/>
    <x v="3"/>
    <x v="14"/>
    <x v="0"/>
    <x v="1"/>
    <x v="1"/>
    <s v="Triocore"/>
    <s v="East"/>
    <x v="1"/>
    <n v="2.05761316872428E-3"/>
    <n v="0.22222222222222221"/>
  </r>
  <r>
    <d v="2015-12-31T10:59:00"/>
    <n v="53"/>
    <n v="1"/>
    <n v="49"/>
    <n v="22"/>
    <n v="19"/>
    <n v="2138793"/>
    <x v="51"/>
    <d v="1900-01-01T00:00:00"/>
    <n v="394"/>
    <x v="0"/>
    <n v="12"/>
    <x v="6"/>
    <x v="0"/>
    <s v="Opportunity #53"/>
    <n v="141"/>
    <n v="1"/>
    <x v="0"/>
    <x v="0"/>
    <x v="1"/>
    <x v="21"/>
    <x v="1"/>
    <x v="1"/>
    <x v="1"/>
    <s v="Donjob"/>
    <s v="Central"/>
    <x v="2"/>
    <n v="0"/>
    <n v="1"/>
  </r>
  <r>
    <d v="2015-01-30T10:59:00"/>
    <n v="54"/>
    <n v="5"/>
    <n v="50"/>
    <n v="22"/>
    <n v="19"/>
    <n v="5977772"/>
    <x v="52"/>
    <d v="1900-01-04T00:00:00"/>
    <n v="390"/>
    <x v="0"/>
    <n v="1"/>
    <x v="9"/>
    <x v="2"/>
    <s v="Opportunity #54"/>
    <n v="341"/>
    <n v="3"/>
    <x v="2"/>
    <x v="2"/>
    <x v="1"/>
    <x v="21"/>
    <x v="1"/>
    <x v="4"/>
    <x v="4"/>
    <s v="Zathcode"/>
    <s v="East"/>
    <x v="0"/>
    <n v="0"/>
    <n v="27"/>
  </r>
  <r>
    <d v="2015-06-01T10:59:00"/>
    <n v="55"/>
    <n v="2"/>
    <n v="11"/>
    <n v="22"/>
    <n v="19"/>
    <n v="2185792"/>
    <x v="53"/>
    <d v="1899-12-31T00:00:00"/>
    <n v="457"/>
    <x v="0"/>
    <n v="6"/>
    <x v="2"/>
    <x v="1"/>
    <s v="Opportunity #55"/>
    <n v="145"/>
    <n v="1"/>
    <x v="0"/>
    <x v="1"/>
    <x v="1"/>
    <x v="21"/>
    <x v="1"/>
    <x v="0"/>
    <x v="0"/>
    <s v="zumplus"/>
    <s v="East"/>
    <x v="0"/>
    <n v="0"/>
    <n v="1.8518518518518517E-2"/>
  </r>
  <r>
    <d v="2015-05-15T14:29:14"/>
    <n v="56"/>
    <n v="1"/>
    <n v="51"/>
    <n v="7"/>
    <n v="16"/>
    <n v="6231561"/>
    <x v="54"/>
    <d v="1900-01-14T00:00:00"/>
    <n v="455"/>
    <x v="0"/>
    <n v="5"/>
    <x v="0"/>
    <x v="0"/>
    <s v="Opportunity #56"/>
    <n v="354"/>
    <n v="3"/>
    <x v="2"/>
    <x v="0"/>
    <x v="4"/>
    <x v="6"/>
    <x v="0"/>
    <x v="1"/>
    <x v="1"/>
    <s v="Meddrill"/>
    <s v="Central"/>
    <x v="0"/>
    <n v="2.05761316872428E-3"/>
    <n v="2"/>
  </r>
  <r>
    <d v="2015-06-15T10:59:00"/>
    <n v="57"/>
    <n v="1"/>
    <n v="49"/>
    <n v="3"/>
    <n v="6"/>
    <n v="140400"/>
    <x v="55"/>
    <d v="1900-01-13T00:00:00"/>
    <n v="366"/>
    <x v="0"/>
    <n v="6"/>
    <x v="2"/>
    <x v="0"/>
    <s v="Opportunity #57"/>
    <n v="17"/>
    <n v="1"/>
    <x v="0"/>
    <x v="0"/>
    <x v="2"/>
    <x v="2"/>
    <x v="0"/>
    <x v="1"/>
    <x v="1"/>
    <s v="Donjob"/>
    <s v="Central"/>
    <x v="2"/>
    <n v="2.05761316872428E-3"/>
    <n v="1"/>
  </r>
  <r>
    <d v="2015-04-02T10:59:00"/>
    <n v="58"/>
    <n v="1"/>
    <n v="11"/>
    <n v="8"/>
    <n v="1"/>
    <n v="3695412"/>
    <x v="56"/>
    <d v="1900-01-01T00:00:00"/>
    <n v="365"/>
    <x v="0"/>
    <n v="4"/>
    <x v="8"/>
    <x v="1"/>
    <s v="Opportunity #58"/>
    <n v="227"/>
    <n v="2"/>
    <x v="1"/>
    <x v="1"/>
    <x v="22"/>
    <x v="7"/>
    <x v="0"/>
    <x v="1"/>
    <x v="1"/>
    <s v="zumplus"/>
    <s v="East"/>
    <x v="0"/>
    <n v="2.05761316872428E-3"/>
    <n v="1"/>
  </r>
  <r>
    <d v="2015-04-02T10:59:00"/>
    <n v="59"/>
    <n v="2"/>
    <n v="11"/>
    <n v="8"/>
    <n v="19"/>
    <n v="2628350"/>
    <x v="57"/>
    <d v="1900-01-01T00:00:00"/>
    <n v="424"/>
    <x v="0"/>
    <n v="4"/>
    <x v="8"/>
    <x v="2"/>
    <s v="Opportunity #59"/>
    <n v="171"/>
    <n v="2"/>
    <x v="1"/>
    <x v="2"/>
    <x v="1"/>
    <x v="7"/>
    <x v="0"/>
    <x v="0"/>
    <x v="0"/>
    <s v="zumplus"/>
    <s v="East"/>
    <x v="0"/>
    <n v="2.05761316872428E-3"/>
    <n v="0.5"/>
  </r>
  <r>
    <d v="2015-04-02T10:59:00"/>
    <n v="60"/>
    <n v="1"/>
    <n v="11"/>
    <n v="8"/>
    <n v="7"/>
    <n v="1205633"/>
    <x v="58"/>
    <d v="1899-12-31T00:00:00"/>
    <n v="366"/>
    <x v="0"/>
    <n v="4"/>
    <x v="8"/>
    <x v="0"/>
    <s v="Opportunity #60"/>
    <n v="82"/>
    <n v="1"/>
    <x v="0"/>
    <x v="0"/>
    <x v="15"/>
    <x v="7"/>
    <x v="0"/>
    <x v="1"/>
    <x v="1"/>
    <s v="zumplus"/>
    <s v="East"/>
    <x v="0"/>
    <n v="2.05761316872428E-3"/>
    <n v="2"/>
  </r>
  <r>
    <d v="2015-12-31T10:59:00"/>
    <n v="61"/>
    <n v="1"/>
    <n v="52"/>
    <n v="24"/>
    <n v="2"/>
    <n v="8326736"/>
    <x v="59"/>
    <d v="1900-01-17T00:00:00"/>
    <n v="378"/>
    <x v="0"/>
    <n v="12"/>
    <x v="6"/>
    <x v="1"/>
    <s v="Opportunity #61"/>
    <n v="423"/>
    <n v="3"/>
    <x v="2"/>
    <x v="1"/>
    <x v="17"/>
    <x v="23"/>
    <x v="0"/>
    <x v="1"/>
    <x v="1"/>
    <s v="Statcom"/>
    <s v="Central"/>
    <x v="0"/>
    <n v="2.05761316872428E-3"/>
    <n v="1"/>
  </r>
  <r>
    <d v="2015-02-27T10:59:00"/>
    <n v="62"/>
    <n v="3"/>
    <n v="53"/>
    <n v="8"/>
    <n v="12"/>
    <n v="7186824"/>
    <x v="60"/>
    <d v="1900-01-26T00:00:00"/>
    <n v="396"/>
    <x v="0"/>
    <n v="2"/>
    <x v="7"/>
    <x v="1"/>
    <s v="Opportunity #62"/>
    <n v="390"/>
    <n v="3"/>
    <x v="2"/>
    <x v="1"/>
    <x v="5"/>
    <x v="7"/>
    <x v="0"/>
    <x v="2"/>
    <x v="2"/>
    <s v="Acetex"/>
    <s v="East"/>
    <x v="0"/>
    <n v="2.05761316872428E-3"/>
    <n v="4.5"/>
  </r>
  <r>
    <d v="2015-03-31T10:59:00"/>
    <n v="63"/>
    <n v="3"/>
    <n v="54"/>
    <n v="22"/>
    <n v="25"/>
    <n v="5242291"/>
    <x v="61"/>
    <d v="1900-01-23T00:00:00"/>
    <n v="431"/>
    <x v="0"/>
    <n v="3"/>
    <x v="10"/>
    <x v="1"/>
    <s v="Opportunity #63"/>
    <n v="306"/>
    <n v="2"/>
    <x v="1"/>
    <x v="1"/>
    <x v="9"/>
    <x v="21"/>
    <x v="1"/>
    <x v="2"/>
    <x v="2"/>
    <s v="techiplex"/>
    <s v="Central"/>
    <x v="2"/>
    <n v="0"/>
    <n v="1"/>
  </r>
  <r>
    <d v="2015-06-30T10:59:00"/>
    <n v="64"/>
    <n v="1"/>
    <n v="55"/>
    <n v="22"/>
    <n v="22"/>
    <n v="5688641"/>
    <x v="62"/>
    <d v="1900-01-10T00:00:00"/>
    <n v="415"/>
    <x v="0"/>
    <n v="6"/>
    <x v="2"/>
    <x v="1"/>
    <s v="Opportunity #64"/>
    <n v="329"/>
    <n v="3"/>
    <x v="2"/>
    <x v="1"/>
    <x v="0"/>
    <x v="21"/>
    <x v="1"/>
    <x v="1"/>
    <x v="1"/>
    <s v="Zim-holding"/>
    <s v="Central"/>
    <x v="0"/>
    <n v="0"/>
    <n v="0.22222222222222221"/>
  </r>
  <r>
    <d v="2015-11-30T10:59:00"/>
    <n v="65"/>
    <n v="1"/>
    <n v="56"/>
    <n v="22"/>
    <n v="10"/>
    <n v="4517628"/>
    <x v="63"/>
    <d v="1900-01-10T00:00:00"/>
    <n v="568"/>
    <x v="0"/>
    <n v="11"/>
    <x v="4"/>
    <x v="1"/>
    <s v="Opportunity #65"/>
    <n v="269"/>
    <n v="2"/>
    <x v="1"/>
    <x v="1"/>
    <x v="10"/>
    <x v="21"/>
    <x v="1"/>
    <x v="1"/>
    <x v="1"/>
    <s v="Lavollab"/>
    <s v="West"/>
    <x v="1"/>
    <n v="0"/>
    <n v="1"/>
  </r>
  <r>
    <d v="2015-12-31T10:59:00"/>
    <n v="66"/>
    <n v="1"/>
    <n v="57"/>
    <n v="22"/>
    <n v="21"/>
    <n v="2847321"/>
    <x v="64"/>
    <d v="1900-01-24T00:00:00"/>
    <n v="554"/>
    <x v="0"/>
    <n v="12"/>
    <x v="6"/>
    <x v="1"/>
    <s v="Opportunity #66"/>
    <n v="182"/>
    <n v="2"/>
    <x v="1"/>
    <x v="1"/>
    <x v="14"/>
    <x v="21"/>
    <x v="1"/>
    <x v="1"/>
    <x v="1"/>
    <s v="Techihow"/>
    <s v="Central"/>
    <x v="2"/>
    <n v="0"/>
    <n v="1"/>
  </r>
  <r>
    <d v="2015-02-27T10:59:00"/>
    <n v="67"/>
    <n v="5"/>
    <n v="58"/>
    <n v="22"/>
    <n v="17"/>
    <n v="1693585"/>
    <x v="65"/>
    <d v="1900-01-20T00:00:00"/>
    <n v="371"/>
    <x v="0"/>
    <n v="2"/>
    <x v="7"/>
    <x v="2"/>
    <s v="Opportunity #67"/>
    <n v="113"/>
    <n v="1"/>
    <x v="0"/>
    <x v="2"/>
    <x v="20"/>
    <x v="21"/>
    <x v="1"/>
    <x v="4"/>
    <x v="4"/>
    <s v="Tripplestrip"/>
    <s v="East"/>
    <x v="0"/>
    <n v="0"/>
    <n v="27"/>
  </r>
  <r>
    <d v="2015-02-02T10:59:00"/>
    <n v="68"/>
    <n v="4"/>
    <n v="23"/>
    <n v="22"/>
    <n v="11"/>
    <n v="1139244"/>
    <x v="66"/>
    <d v="1900-01-01T00:00:00"/>
    <n v="396"/>
    <x v="0"/>
    <n v="2"/>
    <x v="7"/>
    <x v="0"/>
    <s v="Opportunity #68"/>
    <n v="80"/>
    <n v="1"/>
    <x v="0"/>
    <x v="0"/>
    <x v="16"/>
    <x v="21"/>
    <x v="1"/>
    <x v="3"/>
    <x v="3"/>
    <s v="Key-texon"/>
    <s v="West"/>
    <x v="2"/>
    <n v="0"/>
    <n v="0.51851851851851849"/>
  </r>
  <r>
    <d v="2015-12-31T10:59:00"/>
    <n v="69"/>
    <n v="1"/>
    <n v="11"/>
    <n v="22"/>
    <n v="25"/>
    <n v="6668135"/>
    <x v="67"/>
    <d v="1900-01-07T00:00:00"/>
    <n v="602"/>
    <x v="0"/>
    <n v="12"/>
    <x v="6"/>
    <x v="1"/>
    <s v="Opportunity #69"/>
    <n v="372"/>
    <n v="3"/>
    <x v="2"/>
    <x v="1"/>
    <x v="9"/>
    <x v="21"/>
    <x v="1"/>
    <x v="1"/>
    <x v="1"/>
    <s v="zumplus"/>
    <s v="East"/>
    <x v="0"/>
    <n v="0"/>
    <n v="7.1428571428571425E-2"/>
  </r>
  <r>
    <d v="2015-06-01T10:59:00"/>
    <n v="70"/>
    <n v="2"/>
    <n v="11"/>
    <n v="22"/>
    <n v="6"/>
    <n v="2707103"/>
    <x v="68"/>
    <d v="1899-12-31T00:00:00"/>
    <n v="396"/>
    <x v="0"/>
    <n v="6"/>
    <x v="2"/>
    <x v="0"/>
    <s v="Opportunity #70"/>
    <n v="179"/>
    <n v="2"/>
    <x v="1"/>
    <x v="0"/>
    <x v="2"/>
    <x v="21"/>
    <x v="1"/>
    <x v="0"/>
    <x v="0"/>
    <s v="zumplus"/>
    <s v="East"/>
    <x v="0"/>
    <n v="0"/>
    <n v="0.5"/>
  </r>
  <r>
    <d v="2015-01-30T10:59:00"/>
    <n v="71"/>
    <n v="3"/>
    <n v="59"/>
    <n v="8"/>
    <n v="22"/>
    <n v="8753459"/>
    <x v="69"/>
    <d v="1900-01-03T00:00:00"/>
    <n v="391"/>
    <x v="0"/>
    <n v="1"/>
    <x v="9"/>
    <x v="2"/>
    <s v="Opportunity #71"/>
    <n v="433"/>
    <n v="3"/>
    <x v="2"/>
    <x v="2"/>
    <x v="0"/>
    <x v="7"/>
    <x v="0"/>
    <x v="2"/>
    <x v="2"/>
    <s v="Zumhigh"/>
    <s v="Central"/>
    <x v="2"/>
    <n v="2.05761316872428E-3"/>
    <n v="9"/>
  </r>
  <r>
    <d v="2015-03-19T10:59:00"/>
    <n v="72"/>
    <n v="4"/>
    <n v="60"/>
    <n v="22"/>
    <n v="15"/>
    <n v="1856861"/>
    <x v="70"/>
    <d v="1900-01-10T00:00:00"/>
    <n v="373"/>
    <x v="0"/>
    <n v="3"/>
    <x v="10"/>
    <x v="1"/>
    <s v="Opportunity #72"/>
    <n v="125"/>
    <n v="1"/>
    <x v="0"/>
    <x v="1"/>
    <x v="12"/>
    <x v="21"/>
    <x v="1"/>
    <x v="3"/>
    <x v="3"/>
    <s v="Quotelax"/>
    <s v="Central"/>
    <x v="2"/>
    <n v="0"/>
    <n v="3.1111111111111112"/>
  </r>
  <r>
    <d v="2015-02-18T10:59:00"/>
    <n v="73"/>
    <n v="5"/>
    <n v="61"/>
    <n v="22"/>
    <n v="6"/>
    <n v="1788307"/>
    <x v="71"/>
    <d v="1900-01-12T00:00:00"/>
    <n v="401"/>
    <x v="0"/>
    <n v="2"/>
    <x v="7"/>
    <x v="0"/>
    <s v="Opportunity #73"/>
    <n v="121"/>
    <n v="1"/>
    <x v="0"/>
    <x v="0"/>
    <x v="2"/>
    <x v="21"/>
    <x v="1"/>
    <x v="4"/>
    <x v="4"/>
    <s v="an-how"/>
    <s v="Central"/>
    <x v="2"/>
    <n v="0"/>
    <n v="1.9285714285714286"/>
  </r>
  <r>
    <d v="2015-11-30T10:59:00"/>
    <n v="74"/>
    <n v="1"/>
    <n v="62"/>
    <n v="22"/>
    <n v="9"/>
    <n v="2558630"/>
    <x v="72"/>
    <d v="1900-01-27T00:00:00"/>
    <n v="367"/>
    <x v="0"/>
    <n v="11"/>
    <x v="4"/>
    <x v="1"/>
    <s v="Opportunity #74"/>
    <n v="167"/>
    <n v="2"/>
    <x v="1"/>
    <x v="1"/>
    <x v="7"/>
    <x v="21"/>
    <x v="1"/>
    <x v="1"/>
    <x v="1"/>
    <s v="Voyarondax"/>
    <s v="Central"/>
    <x v="0"/>
    <n v="0"/>
    <n v="3.7037037037037035E-2"/>
  </r>
  <r>
    <d v="2015-12-31T10:59:00"/>
    <n v="75"/>
    <n v="1"/>
    <n v="63"/>
    <n v="28"/>
    <n v="5"/>
    <n v="6157545"/>
    <x v="73"/>
    <d v="1900-01-21T00:00:00"/>
    <n v="588"/>
    <x v="0"/>
    <n v="12"/>
    <x v="6"/>
    <x v="0"/>
    <s v="Opportunity #75"/>
    <n v="349"/>
    <n v="3"/>
    <x v="2"/>
    <x v="0"/>
    <x v="6"/>
    <x v="27"/>
    <x v="0"/>
    <x v="1"/>
    <x v="1"/>
    <s v="sailis"/>
    <s v="Central"/>
    <x v="0"/>
    <n v="2.05761316872428E-3"/>
    <n v="1"/>
  </r>
  <r>
    <d v="2015-11-30T10:59:00"/>
    <n v="76"/>
    <n v="1"/>
    <n v="64"/>
    <n v="27"/>
    <n v="10"/>
    <n v="4963605"/>
    <x v="74"/>
    <d v="1900-01-20T00:00:00"/>
    <n v="374"/>
    <x v="0"/>
    <n v="11"/>
    <x v="4"/>
    <x v="0"/>
    <s v="Opportunity #76"/>
    <n v="290"/>
    <n v="2"/>
    <x v="1"/>
    <x v="0"/>
    <x v="10"/>
    <x v="26"/>
    <x v="0"/>
    <x v="1"/>
    <x v="1"/>
    <s v="Trusthex"/>
    <s v="West"/>
    <x v="1"/>
    <n v="2.05761316872428E-3"/>
    <n v="1"/>
  </r>
  <r>
    <d v="2015-06-08T10:59:00"/>
    <n v="77"/>
    <n v="1"/>
    <n v="65"/>
    <n v="22"/>
    <n v="10"/>
    <n v="5294496"/>
    <x v="75"/>
    <d v="1899-12-31T00:00:00"/>
    <n v="464"/>
    <x v="0"/>
    <n v="6"/>
    <x v="2"/>
    <x v="0"/>
    <s v="Opportunity #77"/>
    <n v="309"/>
    <n v="2"/>
    <x v="1"/>
    <x v="0"/>
    <x v="10"/>
    <x v="21"/>
    <x v="1"/>
    <x v="1"/>
    <x v="1"/>
    <s v="newfax"/>
    <s v="Central"/>
    <x v="0"/>
    <n v="0"/>
    <n v="1"/>
  </r>
  <r>
    <d v="2015-11-30T10:59:00"/>
    <n v="78"/>
    <n v="1"/>
    <n v="66"/>
    <n v="22"/>
    <n v="8"/>
    <n v="448423"/>
    <x v="76"/>
    <d v="1900-01-20T00:00:00"/>
    <n v="647"/>
    <x v="0"/>
    <n v="11"/>
    <x v="4"/>
    <x v="0"/>
    <s v="Opportunity #78"/>
    <n v="40"/>
    <n v="1"/>
    <x v="0"/>
    <x v="0"/>
    <x v="18"/>
    <x v="21"/>
    <x v="1"/>
    <x v="1"/>
    <x v="1"/>
    <s v="trankix"/>
    <s v="Central"/>
    <x v="1"/>
    <n v="0"/>
    <n v="1"/>
  </r>
  <r>
    <d v="2015-05-15T10:59:00"/>
    <n v="79"/>
    <n v="2"/>
    <n v="67"/>
    <n v="21"/>
    <n v="16"/>
    <n v="4890268"/>
    <x v="77"/>
    <d v="1900-01-03T00:00:00"/>
    <n v="406"/>
    <x v="0"/>
    <n v="5"/>
    <x v="0"/>
    <x v="0"/>
    <s v="Opportunity #79"/>
    <n v="286"/>
    <n v="2"/>
    <x v="1"/>
    <x v="0"/>
    <x v="4"/>
    <x v="20"/>
    <x v="0"/>
    <x v="0"/>
    <x v="0"/>
    <s v="Salttouch"/>
    <s v="East"/>
    <x v="0"/>
    <n v="2.05761316872428E-3"/>
    <n v="0.5"/>
  </r>
  <r>
    <d v="2015-06-01T10:59:00"/>
    <n v="80"/>
    <n v="1"/>
    <n v="68"/>
    <n v="22"/>
    <n v="6"/>
    <n v="2332519"/>
    <x v="78"/>
    <d v="1899-12-31T00:00:00"/>
    <n v="365"/>
    <x v="0"/>
    <n v="6"/>
    <x v="2"/>
    <x v="0"/>
    <s v="Opportunity #80"/>
    <n v="155"/>
    <n v="1"/>
    <x v="0"/>
    <x v="0"/>
    <x v="2"/>
    <x v="21"/>
    <x v="1"/>
    <x v="1"/>
    <x v="1"/>
    <s v="O-cone"/>
    <s v="East"/>
    <x v="0"/>
    <n v="0"/>
    <n v="2"/>
  </r>
  <r>
    <d v="2015-03-28T10:59:00"/>
    <n v="81"/>
    <n v="2"/>
    <n v="69"/>
    <n v="22"/>
    <n v="6"/>
    <n v="2875462"/>
    <x v="79"/>
    <d v="1900-01-13T00:00:00"/>
    <n v="379"/>
    <x v="0"/>
    <n v="3"/>
    <x v="10"/>
    <x v="1"/>
    <s v="Opportunity #81"/>
    <n v="183"/>
    <n v="2"/>
    <x v="1"/>
    <x v="1"/>
    <x v="2"/>
    <x v="21"/>
    <x v="1"/>
    <x v="0"/>
    <x v="0"/>
    <s v="Goodplex"/>
    <s v="Central"/>
    <x v="0"/>
    <n v="0"/>
    <n v="0.5"/>
  </r>
  <r>
    <d v="2015-12-31T10:59:00"/>
    <n v="82"/>
    <n v="1"/>
    <n v="70"/>
    <n v="8"/>
    <n v="17"/>
    <n v="1866052"/>
    <x v="80"/>
    <d v="1900-01-24T00:00:00"/>
    <n v="371"/>
    <x v="0"/>
    <n v="12"/>
    <x v="6"/>
    <x v="1"/>
    <s v="Opportunity #82"/>
    <n v="126"/>
    <n v="1"/>
    <x v="0"/>
    <x v="1"/>
    <x v="20"/>
    <x v="7"/>
    <x v="0"/>
    <x v="1"/>
    <x v="1"/>
    <s v="Keystreet"/>
    <s v="West"/>
    <x v="2"/>
    <n v="2.05761316872428E-3"/>
    <n v="2"/>
  </r>
  <r>
    <d v="2015-06-01T10:59:00"/>
    <n v="83"/>
    <n v="1"/>
    <n v="71"/>
    <n v="22"/>
    <n v="13"/>
    <n v="3269705"/>
    <x v="81"/>
    <d v="1899-12-31T00:00:00"/>
    <n v="426"/>
    <x v="0"/>
    <n v="6"/>
    <x v="2"/>
    <x v="1"/>
    <s v="Opportunity #83"/>
    <n v="204"/>
    <n v="2"/>
    <x v="1"/>
    <x v="1"/>
    <x v="21"/>
    <x v="21"/>
    <x v="1"/>
    <x v="1"/>
    <x v="1"/>
    <s v="Linesilbam"/>
    <s v="Central"/>
    <x v="2"/>
    <n v="0"/>
    <n v="1"/>
  </r>
  <r>
    <d v="2015-11-20T10:59:00"/>
    <n v="84"/>
    <n v="1"/>
    <n v="72"/>
    <n v="22"/>
    <n v="1"/>
    <n v="356981"/>
    <x v="82"/>
    <d v="1900-01-08T00:00:00"/>
    <n v="649"/>
    <x v="0"/>
    <n v="11"/>
    <x v="4"/>
    <x v="0"/>
    <s v="Opportunity #84"/>
    <n v="33"/>
    <n v="1"/>
    <x v="0"/>
    <x v="0"/>
    <x v="22"/>
    <x v="21"/>
    <x v="1"/>
    <x v="1"/>
    <x v="1"/>
    <s v="Itzozstrip"/>
    <s v="Central"/>
    <x v="2"/>
    <n v="0"/>
    <n v="1"/>
  </r>
  <r>
    <d v="2015-03-02T10:59:00"/>
    <n v="85"/>
    <n v="2"/>
    <n v="73"/>
    <n v="8"/>
    <n v="10"/>
    <n v="3396915"/>
    <x v="83"/>
    <d v="1899-12-31T00:00:00"/>
    <n v="366"/>
    <x v="0"/>
    <n v="3"/>
    <x v="10"/>
    <x v="1"/>
    <s v="Opportunity #85"/>
    <n v="209"/>
    <n v="2"/>
    <x v="1"/>
    <x v="1"/>
    <x v="10"/>
    <x v="7"/>
    <x v="0"/>
    <x v="0"/>
    <x v="0"/>
    <s v="Latis"/>
    <s v="Central"/>
    <x v="0"/>
    <n v="2.05761316872428E-3"/>
    <n v="0.5"/>
  </r>
  <r>
    <d v="2015-07-31T08:00:00"/>
    <n v="86"/>
    <n v="2"/>
    <n v="74"/>
    <n v="29"/>
    <n v="10"/>
    <n v="2781961"/>
    <x v="84"/>
    <d v="1900-01-12T00:00:00"/>
    <n v="564"/>
    <x v="0"/>
    <n v="7"/>
    <x v="1"/>
    <x v="2"/>
    <s v="Opportunity #86"/>
    <n v="181"/>
    <n v="2"/>
    <x v="1"/>
    <x v="2"/>
    <x v="10"/>
    <x v="28"/>
    <x v="0"/>
    <x v="0"/>
    <x v="0"/>
    <s v="Technogreen"/>
    <s v="Central"/>
    <x v="1"/>
    <n v="2.05761316872428E-3"/>
    <n v="1"/>
  </r>
  <r>
    <d v="2015-07-31T08:00:00"/>
    <n v="87"/>
    <n v="1"/>
    <n v="75"/>
    <n v="22"/>
    <n v="18"/>
    <n v="664119"/>
    <x v="85"/>
    <d v="1900-01-29T00:00:00"/>
    <n v="488"/>
    <x v="0"/>
    <n v="7"/>
    <x v="1"/>
    <x v="1"/>
    <s v="Opportunity #87"/>
    <n v="52"/>
    <n v="1"/>
    <x v="0"/>
    <x v="1"/>
    <x v="3"/>
    <x v="21"/>
    <x v="1"/>
    <x v="1"/>
    <x v="1"/>
    <s v="Singlecan"/>
    <s v="East"/>
    <x v="2"/>
    <n v="0"/>
    <n v="2"/>
  </r>
  <r>
    <d v="2015-08-25T07:00:00"/>
    <n v="88"/>
    <n v="1"/>
    <n v="76"/>
    <n v="22"/>
    <n v="17"/>
    <n v="7329776"/>
    <x v="86"/>
    <d v="1900-01-09T00:00:00"/>
    <n v="411"/>
    <x v="0"/>
    <n v="8"/>
    <x v="11"/>
    <x v="1"/>
    <s v="Opportunity #88"/>
    <n v="397"/>
    <n v="3"/>
    <x v="2"/>
    <x v="1"/>
    <x v="20"/>
    <x v="21"/>
    <x v="1"/>
    <x v="1"/>
    <x v="1"/>
    <s v="Conenix"/>
    <s v="East"/>
    <x v="2"/>
    <n v="0"/>
    <n v="1"/>
  </r>
  <r>
    <d v="2015-01-27T10:59:00"/>
    <n v="89"/>
    <n v="4"/>
    <n v="77"/>
    <n v="30"/>
    <n v="9"/>
    <n v="7316443"/>
    <x v="87"/>
    <d v="1900-01-16T00:00:00"/>
    <n v="375"/>
    <x v="0"/>
    <n v="1"/>
    <x v="9"/>
    <x v="1"/>
    <s v="Opportunity #89"/>
    <n v="396"/>
    <n v="3"/>
    <x v="2"/>
    <x v="1"/>
    <x v="7"/>
    <x v="29"/>
    <x v="0"/>
    <x v="3"/>
    <x v="3"/>
    <s v="quotefix"/>
    <s v="Central"/>
    <x v="2"/>
    <n v="2.05761316872428E-3"/>
    <n v="14"/>
  </r>
  <r>
    <d v="2015-12-31T10:59:00"/>
    <n v="90"/>
    <n v="1"/>
    <n v="78"/>
    <n v="8"/>
    <n v="3"/>
    <n v="6338810"/>
    <x v="88"/>
    <d v="1900-01-30T00:00:00"/>
    <n v="640"/>
    <x v="0"/>
    <n v="12"/>
    <x v="6"/>
    <x v="2"/>
    <s v="Opportunity #90"/>
    <n v="361"/>
    <n v="3"/>
    <x v="2"/>
    <x v="2"/>
    <x v="13"/>
    <x v="7"/>
    <x v="0"/>
    <x v="1"/>
    <x v="1"/>
    <s v="Voltamcore"/>
    <s v="East"/>
    <x v="0"/>
    <n v="2.05761316872428E-3"/>
    <n v="7.1428571428571425E-2"/>
  </r>
  <r>
    <d v="2015-02-20T06:00:00"/>
    <n v="91"/>
    <n v="3"/>
    <n v="79"/>
    <n v="22"/>
    <n v="20"/>
    <n v="971734"/>
    <x v="89"/>
    <d v="1900-01-08T00:00:00"/>
    <n v="376"/>
    <x v="0"/>
    <n v="2"/>
    <x v="7"/>
    <x v="2"/>
    <s v="Opportunity #91"/>
    <n v="71"/>
    <n v="1"/>
    <x v="0"/>
    <x v="2"/>
    <x v="11"/>
    <x v="21"/>
    <x v="1"/>
    <x v="2"/>
    <x v="2"/>
    <s v="Zimtexon"/>
    <s v="Central"/>
    <x v="0"/>
    <n v="0"/>
    <n v="4.5"/>
  </r>
  <r>
    <d v="2015-05-29T10:59:00"/>
    <n v="92"/>
    <n v="2"/>
    <n v="80"/>
    <n v="3"/>
    <n v="16"/>
    <n v="3816213"/>
    <x v="90"/>
    <d v="1900-01-15T00:00:00"/>
    <n v="498"/>
    <x v="0"/>
    <n v="5"/>
    <x v="0"/>
    <x v="2"/>
    <s v="Opportunity #92"/>
    <n v="234"/>
    <n v="2"/>
    <x v="1"/>
    <x v="2"/>
    <x v="4"/>
    <x v="2"/>
    <x v="0"/>
    <x v="0"/>
    <x v="0"/>
    <s v="Rounddexon"/>
    <s v="East"/>
    <x v="0"/>
    <n v="2.05761316872428E-3"/>
    <n v="0.1111111111111111"/>
  </r>
  <r>
    <d v="2015-02-18T10:59:00"/>
    <n v="93"/>
    <n v="1"/>
    <n v="81"/>
    <n v="22"/>
    <n v="21"/>
    <n v="2540740"/>
    <x v="91"/>
    <d v="1900-01-04T00:00:00"/>
    <n v="378"/>
    <x v="0"/>
    <n v="2"/>
    <x v="7"/>
    <x v="2"/>
    <s v="Opportunity #93"/>
    <n v="166"/>
    <n v="2"/>
    <x v="1"/>
    <x v="2"/>
    <x v="14"/>
    <x v="21"/>
    <x v="1"/>
    <x v="1"/>
    <x v="1"/>
    <s v="Runcore"/>
    <s v="Central"/>
    <x v="0"/>
    <n v="0"/>
    <n v="2"/>
  </r>
  <r>
    <d v="2015-04-24T10:59:00"/>
    <n v="94"/>
    <n v="3"/>
    <n v="82"/>
    <n v="31"/>
    <n v="18"/>
    <n v="8834695"/>
    <x v="92"/>
    <d v="1900-01-03T00:00:00"/>
    <n v="475"/>
    <x v="0"/>
    <n v="4"/>
    <x v="8"/>
    <x v="2"/>
    <s v="Opportunity #94"/>
    <n v="436"/>
    <n v="3"/>
    <x v="2"/>
    <x v="2"/>
    <x v="3"/>
    <x v="30"/>
    <x v="0"/>
    <x v="2"/>
    <x v="2"/>
    <s v="Lexiunofax"/>
    <s v="Central"/>
    <x v="2"/>
    <n v="2.05761316872428E-3"/>
    <n v="4.5"/>
  </r>
  <r>
    <d v="2015-07-29T06:00:00"/>
    <n v="95"/>
    <n v="1"/>
    <n v="83"/>
    <n v="32"/>
    <n v="19"/>
    <n v="10984574"/>
    <x v="93"/>
    <d v="1900-01-20T00:00:00"/>
    <n v="523"/>
    <x v="0"/>
    <n v="7"/>
    <x v="1"/>
    <x v="1"/>
    <s v="Opportunity #95"/>
    <n v="475"/>
    <n v="3"/>
    <x v="2"/>
    <x v="1"/>
    <x v="1"/>
    <x v="31"/>
    <x v="0"/>
    <x v="1"/>
    <x v="1"/>
    <s v="Itgreen"/>
    <s v="Central"/>
    <x v="1"/>
    <n v="2.05761316872428E-3"/>
    <n v="0.22222222222222221"/>
  </r>
  <r>
    <d v="2015-08-25T07:00:00"/>
    <n v="96"/>
    <n v="1"/>
    <n v="84"/>
    <n v="22"/>
    <n v="3"/>
    <n v="4419265"/>
    <x v="94"/>
    <d v="1900-01-05T00:00:00"/>
    <n v="565"/>
    <x v="0"/>
    <n v="8"/>
    <x v="11"/>
    <x v="2"/>
    <s v="Opportunity #96"/>
    <n v="267"/>
    <n v="2"/>
    <x v="1"/>
    <x v="2"/>
    <x v="13"/>
    <x v="21"/>
    <x v="1"/>
    <x v="1"/>
    <x v="1"/>
    <s v="Goldentam"/>
    <s v="Central"/>
    <x v="2"/>
    <n v="0"/>
    <n v="1"/>
  </r>
  <r>
    <d v="2015-06-30T10:59:00"/>
    <n v="97"/>
    <n v="2"/>
    <n v="33"/>
    <n v="8"/>
    <n v="20"/>
    <n v="10628746"/>
    <x v="95"/>
    <d v="1900-01-20T00:00:00"/>
    <n v="525"/>
    <x v="0"/>
    <n v="6"/>
    <x v="2"/>
    <x v="1"/>
    <s v="Opportunity #97"/>
    <n v="472"/>
    <n v="3"/>
    <x v="2"/>
    <x v="1"/>
    <x v="11"/>
    <x v="7"/>
    <x v="0"/>
    <x v="0"/>
    <x v="0"/>
    <s v="Zaptechno"/>
    <s v="East"/>
    <x v="0"/>
    <n v="2.05761316872428E-3"/>
    <n v="0.5"/>
  </r>
  <r>
    <d v="2015-06-30T10:59:00"/>
    <n v="98"/>
    <n v="1"/>
    <n v="33"/>
    <n v="8"/>
    <n v="11"/>
    <n v="2385623"/>
    <x v="96"/>
    <d v="1900-01-13T00:00:00"/>
    <n v="473"/>
    <x v="0"/>
    <n v="6"/>
    <x v="2"/>
    <x v="2"/>
    <s v="Opportunity #98"/>
    <n v="158"/>
    <n v="1"/>
    <x v="0"/>
    <x v="2"/>
    <x v="16"/>
    <x v="7"/>
    <x v="0"/>
    <x v="1"/>
    <x v="1"/>
    <s v="Zaptechno"/>
    <s v="East"/>
    <x v="0"/>
    <n v="2.05761316872428E-3"/>
    <n v="2"/>
  </r>
  <r>
    <d v="2015-02-16T10:59:00"/>
    <n v="99"/>
    <n v="5"/>
    <n v="85"/>
    <n v="33"/>
    <n v="13"/>
    <n v="5208670"/>
    <x v="97"/>
    <d v="1900-01-12T00:00:00"/>
    <n v="368"/>
    <x v="0"/>
    <n v="2"/>
    <x v="7"/>
    <x v="2"/>
    <s v="Opportunity #99"/>
    <n v="305"/>
    <n v="2"/>
    <x v="1"/>
    <x v="2"/>
    <x v="21"/>
    <x v="32"/>
    <x v="0"/>
    <x v="4"/>
    <x v="4"/>
    <s v="Strongtech"/>
    <s v="Central"/>
    <x v="2"/>
    <n v="2.05761316872428E-3"/>
    <n v="27"/>
  </r>
  <r>
    <d v="2015-04-03T10:59:00"/>
    <n v="100"/>
    <n v="3"/>
    <n v="23"/>
    <n v="22"/>
    <n v="19"/>
    <n v="7021112"/>
    <x v="98"/>
    <d v="1900-01-01T00:00:00"/>
    <n v="397"/>
    <x v="0"/>
    <n v="4"/>
    <x v="8"/>
    <x v="1"/>
    <s v="Opportunity #100"/>
    <n v="387"/>
    <n v="3"/>
    <x v="2"/>
    <x v="1"/>
    <x v="1"/>
    <x v="21"/>
    <x v="1"/>
    <x v="2"/>
    <x v="2"/>
    <s v="Key-texon"/>
    <s v="West"/>
    <x v="2"/>
    <n v="0"/>
    <n v="0.16666666666666666"/>
  </r>
  <r>
    <d v="2015-06-25T10:59:00"/>
    <n v="101"/>
    <n v="1"/>
    <n v="86"/>
    <n v="3"/>
    <n v="10"/>
    <n v="1097304"/>
    <x v="99"/>
    <d v="1900-01-15T00:00:00"/>
    <n v="466"/>
    <x v="0"/>
    <n v="6"/>
    <x v="2"/>
    <x v="0"/>
    <s v="Opportunity #101"/>
    <n v="77"/>
    <n v="1"/>
    <x v="0"/>
    <x v="0"/>
    <x v="10"/>
    <x v="2"/>
    <x v="0"/>
    <x v="1"/>
    <x v="1"/>
    <s v="Tranhex"/>
    <s v="Central"/>
    <x v="2"/>
    <n v="2.05761316872428E-3"/>
    <n v="0.22222222222222221"/>
  </r>
  <r>
    <d v="2015-07-31T08:00:00"/>
    <n v="102"/>
    <n v="2"/>
    <n v="87"/>
    <n v="34"/>
    <n v="2"/>
    <n v="5292273"/>
    <x v="100"/>
    <d v="1900-01-21T00:00:00"/>
    <n v="555"/>
    <x v="0"/>
    <n v="7"/>
    <x v="1"/>
    <x v="1"/>
    <s v="Opportunity #102"/>
    <n v="308"/>
    <n v="2"/>
    <x v="1"/>
    <x v="1"/>
    <x v="17"/>
    <x v="33"/>
    <x v="0"/>
    <x v="0"/>
    <x v="0"/>
    <s v="U-zamedia"/>
    <s v="Central"/>
    <x v="1"/>
    <n v="2.05761316872428E-3"/>
    <n v="0.5"/>
  </r>
  <r>
    <d v="2015-09-30T10:59:00"/>
    <n v="103"/>
    <n v="2"/>
    <n v="88"/>
    <n v="22"/>
    <n v="17"/>
    <n v="1264619"/>
    <x v="101"/>
    <d v="1900-01-09T00:00:00"/>
    <n v="416"/>
    <x v="0"/>
    <n v="9"/>
    <x v="5"/>
    <x v="1"/>
    <s v="Opportunity #103"/>
    <n v="85"/>
    <n v="1"/>
    <x v="0"/>
    <x v="1"/>
    <x v="20"/>
    <x v="21"/>
    <x v="1"/>
    <x v="0"/>
    <x v="0"/>
    <s v="Vivaway"/>
    <s v="West"/>
    <x v="2"/>
    <n v="0"/>
    <n v="1"/>
  </r>
  <r>
    <d v="2015-12-31T10:59:00"/>
    <n v="104"/>
    <n v="1"/>
    <n v="89"/>
    <n v="8"/>
    <n v="20"/>
    <n v="4047326"/>
    <x v="102"/>
    <d v="1900-01-04T00:00:00"/>
    <n v="513"/>
    <x v="0"/>
    <n v="12"/>
    <x v="6"/>
    <x v="2"/>
    <s v="Opportunity #104"/>
    <n v="246"/>
    <n v="2"/>
    <x v="1"/>
    <x v="2"/>
    <x v="11"/>
    <x v="7"/>
    <x v="0"/>
    <x v="1"/>
    <x v="1"/>
    <s v="Plexkaying"/>
    <s v="Central"/>
    <x v="2"/>
    <n v="2.05761316872428E-3"/>
    <n v="2"/>
  </r>
  <r>
    <d v="2015-04-15T10:59:00"/>
    <n v="105"/>
    <n v="1"/>
    <n v="90"/>
    <n v="8"/>
    <n v="18"/>
    <n v="6531823"/>
    <x v="103"/>
    <d v="1900-01-01T00:00:00"/>
    <n v="409"/>
    <x v="0"/>
    <n v="4"/>
    <x v="8"/>
    <x v="2"/>
    <s v="Opportunity #105"/>
    <n v="369"/>
    <n v="3"/>
    <x v="2"/>
    <x v="2"/>
    <x v="3"/>
    <x v="7"/>
    <x v="0"/>
    <x v="1"/>
    <x v="1"/>
    <s v="Solostrip"/>
    <s v="Central"/>
    <x v="0"/>
    <n v="2.05761316872428E-3"/>
    <n v="1"/>
  </r>
  <r>
    <d v="2015-12-31T10:59:00"/>
    <n v="106"/>
    <n v="1"/>
    <n v="91"/>
    <n v="5"/>
    <n v="5"/>
    <n v="4950078"/>
    <x v="104"/>
    <d v="1900-01-14T00:00:00"/>
    <n v="472"/>
    <x v="0"/>
    <n v="12"/>
    <x v="6"/>
    <x v="1"/>
    <s v="Opportunity #106"/>
    <n v="289"/>
    <n v="2"/>
    <x v="1"/>
    <x v="1"/>
    <x v="6"/>
    <x v="4"/>
    <x v="0"/>
    <x v="1"/>
    <x v="1"/>
    <s v="Ventotom"/>
    <s v="East"/>
    <x v="0"/>
    <n v="2.05761316872428E-3"/>
    <n v="1"/>
  </r>
  <r>
    <d v="2015-08-31T10:59:00"/>
    <n v="107"/>
    <n v="1"/>
    <n v="92"/>
    <n v="35"/>
    <n v="14"/>
    <n v="5786740"/>
    <x v="105"/>
    <d v="1900-01-24T00:00:00"/>
    <n v="524"/>
    <x v="0"/>
    <n v="8"/>
    <x v="11"/>
    <x v="2"/>
    <s v="Opportunity #107"/>
    <n v="333"/>
    <n v="3"/>
    <x v="2"/>
    <x v="2"/>
    <x v="23"/>
    <x v="34"/>
    <x v="0"/>
    <x v="1"/>
    <x v="1"/>
    <s v="Redzim"/>
    <s v="East"/>
    <x v="1"/>
    <n v="2.05761316872428E-3"/>
    <n v="1"/>
  </r>
  <r>
    <d v="2015-05-11T10:59:00"/>
    <n v="108"/>
    <n v="1"/>
    <n v="51"/>
    <n v="36"/>
    <n v="20"/>
    <n v="11678946"/>
    <x v="106"/>
    <d v="1899-12-31T00:00:00"/>
    <n v="375"/>
    <x v="0"/>
    <n v="5"/>
    <x v="0"/>
    <x v="0"/>
    <s v="Opportunity #108"/>
    <n v="481"/>
    <n v="3"/>
    <x v="2"/>
    <x v="0"/>
    <x v="11"/>
    <x v="35"/>
    <x v="0"/>
    <x v="1"/>
    <x v="1"/>
    <s v="Meddrill"/>
    <s v="Central"/>
    <x v="0"/>
    <n v="2.05761316872428E-3"/>
    <n v="1"/>
  </r>
  <r>
    <d v="2015-12-31T10:59:00"/>
    <n v="109"/>
    <n v="1"/>
    <n v="93"/>
    <n v="8"/>
    <n v="19"/>
    <n v="8938421"/>
    <x v="107"/>
    <d v="1899-12-31T00:00:00"/>
    <n v="425"/>
    <x v="0"/>
    <n v="12"/>
    <x v="6"/>
    <x v="2"/>
    <s v="Opportunity #109"/>
    <n v="439"/>
    <n v="3"/>
    <x v="2"/>
    <x v="2"/>
    <x v="1"/>
    <x v="7"/>
    <x v="0"/>
    <x v="1"/>
    <x v="1"/>
    <s v="Inkix"/>
    <s v="Central"/>
    <x v="0"/>
    <n v="2.05761316872428E-3"/>
    <n v="1"/>
  </r>
  <r>
    <d v="2015-01-10T10:59:00"/>
    <n v="110"/>
    <n v="5"/>
    <n v="94"/>
    <n v="22"/>
    <n v="12"/>
    <n v="5769858"/>
    <x v="108"/>
    <d v="1900-01-08T00:00:00"/>
    <n v="366"/>
    <x v="0"/>
    <n v="1"/>
    <x v="9"/>
    <x v="2"/>
    <s v="Opportunity #110"/>
    <n v="331"/>
    <n v="3"/>
    <x v="2"/>
    <x v="2"/>
    <x v="5"/>
    <x v="21"/>
    <x v="1"/>
    <x v="4"/>
    <x v="4"/>
    <s v="Unohothex"/>
    <s v="Central"/>
    <x v="0"/>
    <n v="0"/>
    <n v="27"/>
  </r>
  <r>
    <d v="2015-03-26T10:59:00"/>
    <n v="111"/>
    <n v="3"/>
    <n v="62"/>
    <n v="8"/>
    <n v="17"/>
    <n v="7750823"/>
    <x v="109"/>
    <d v="1900-01-05T00:00:00"/>
    <n v="385"/>
    <x v="0"/>
    <n v="3"/>
    <x v="10"/>
    <x v="2"/>
    <s v="Opportunity #111"/>
    <n v="409"/>
    <n v="3"/>
    <x v="2"/>
    <x v="2"/>
    <x v="20"/>
    <x v="7"/>
    <x v="0"/>
    <x v="2"/>
    <x v="2"/>
    <s v="Voyarondax"/>
    <s v="Central"/>
    <x v="0"/>
    <n v="2.05761316872428E-3"/>
    <n v="0.16666666666666666"/>
  </r>
  <r>
    <d v="2015-08-25T07:00:00"/>
    <n v="112"/>
    <n v="1"/>
    <n v="95"/>
    <n v="37"/>
    <n v="8"/>
    <n v="425004"/>
    <x v="110"/>
    <d v="1900-01-14T00:00:00"/>
    <n v="406"/>
    <x v="0"/>
    <n v="8"/>
    <x v="11"/>
    <x v="1"/>
    <s v="Opportunity #112"/>
    <n v="38"/>
    <n v="1"/>
    <x v="0"/>
    <x v="1"/>
    <x v="18"/>
    <x v="36"/>
    <x v="0"/>
    <x v="1"/>
    <x v="1"/>
    <s v="Sandubjob"/>
    <s v="East"/>
    <x v="1"/>
    <n v="2.05761316872428E-3"/>
    <n v="0.22222222222222221"/>
  </r>
  <r>
    <d v="2015-04-17T10:59:00"/>
    <n v="113"/>
    <n v="2"/>
    <n v="96"/>
    <n v="38"/>
    <n v="2"/>
    <n v="1478056"/>
    <x v="111"/>
    <d v="1900-01-09T00:00:00"/>
    <n v="372"/>
    <x v="0"/>
    <n v="4"/>
    <x v="8"/>
    <x v="0"/>
    <s v="Opportunity #113"/>
    <n v="101"/>
    <n v="1"/>
    <x v="0"/>
    <x v="0"/>
    <x v="17"/>
    <x v="37"/>
    <x v="0"/>
    <x v="0"/>
    <x v="0"/>
    <s v="Linelab"/>
    <s v="Central"/>
    <x v="1"/>
    <n v="2.05761316872428E-3"/>
    <n v="0.5"/>
  </r>
  <r>
    <d v="2015-04-30T10:59:00"/>
    <n v="114"/>
    <n v="1"/>
    <n v="13"/>
    <n v="9"/>
    <n v="9"/>
    <n v="7648045"/>
    <x v="112"/>
    <d v="1900-01-24T00:00:00"/>
    <n v="401"/>
    <x v="0"/>
    <n v="4"/>
    <x v="8"/>
    <x v="0"/>
    <s v="Opportunity #114"/>
    <n v="404"/>
    <n v="3"/>
    <x v="2"/>
    <x v="0"/>
    <x v="7"/>
    <x v="8"/>
    <x v="0"/>
    <x v="1"/>
    <x v="1"/>
    <s v="Tampdexon"/>
    <s v="Central"/>
    <x v="2"/>
    <n v="2.05761316872428E-3"/>
    <n v="2"/>
  </r>
  <r>
    <d v="2015-11-30T10:59:00"/>
    <n v="115"/>
    <n v="1"/>
    <n v="97"/>
    <n v="3"/>
    <n v="23"/>
    <n v="10142938"/>
    <x v="113"/>
    <d v="1900-01-23T00:00:00"/>
    <n v="616"/>
    <x v="0"/>
    <n v="11"/>
    <x v="4"/>
    <x v="1"/>
    <s v="Opportunity #115"/>
    <n v="467"/>
    <n v="3"/>
    <x v="2"/>
    <x v="1"/>
    <x v="19"/>
    <x v="2"/>
    <x v="0"/>
    <x v="1"/>
    <x v="1"/>
    <s v="Cityvivahow"/>
    <s v="East"/>
    <x v="2"/>
    <n v="2.05761316872428E-3"/>
    <n v="1"/>
  </r>
  <r>
    <d v="2015-02-26T10:59:00"/>
    <n v="116"/>
    <n v="3"/>
    <n v="28"/>
    <n v="39"/>
    <n v="22"/>
    <n v="5033421"/>
    <x v="114"/>
    <d v="1900-01-01T00:00:00"/>
    <n v="420"/>
    <x v="0"/>
    <n v="2"/>
    <x v="7"/>
    <x v="2"/>
    <s v="Opportunity #116"/>
    <n v="297"/>
    <n v="2"/>
    <x v="1"/>
    <x v="2"/>
    <x v="0"/>
    <x v="38"/>
    <x v="0"/>
    <x v="2"/>
    <x v="2"/>
    <s v="stripcorporation"/>
    <s v="East"/>
    <x v="2"/>
    <n v="2.05761316872428E-3"/>
    <n v="4.5"/>
  </r>
  <r>
    <d v="2015-05-30T10:59:00"/>
    <n v="117"/>
    <n v="3"/>
    <n v="98"/>
    <n v="40"/>
    <n v="1"/>
    <n v="7499745"/>
    <x v="115"/>
    <d v="1900-01-26T00:00:00"/>
    <n v="457"/>
    <x v="0"/>
    <n v="5"/>
    <x v="0"/>
    <x v="0"/>
    <s v="Opportunity #117"/>
    <n v="402"/>
    <n v="3"/>
    <x v="2"/>
    <x v="0"/>
    <x v="22"/>
    <x v="39"/>
    <x v="0"/>
    <x v="2"/>
    <x v="2"/>
    <s v="Anjob"/>
    <s v="East"/>
    <x v="1"/>
    <n v="2.05761316872428E-3"/>
    <n v="1"/>
  </r>
  <r>
    <d v="2015-03-31T10:59:00"/>
    <n v="118"/>
    <n v="3"/>
    <n v="99"/>
    <n v="13"/>
    <n v="16"/>
    <n v="7236205"/>
    <x v="116"/>
    <d v="1900-01-17T00:00:00"/>
    <n v="378"/>
    <x v="0"/>
    <n v="3"/>
    <x v="10"/>
    <x v="1"/>
    <s v="Opportunity #118"/>
    <n v="395"/>
    <n v="3"/>
    <x v="2"/>
    <x v="1"/>
    <x v="4"/>
    <x v="12"/>
    <x v="0"/>
    <x v="2"/>
    <x v="2"/>
    <s v="freefix"/>
    <s v="East"/>
    <x v="1"/>
    <n v="2.05761316872428E-3"/>
    <n v="1"/>
  </r>
  <r>
    <d v="2015-03-15T10:59:00"/>
    <n v="119"/>
    <n v="1"/>
    <n v="100"/>
    <n v="22"/>
    <n v="20"/>
    <n v="2381416"/>
    <x v="117"/>
    <d v="1900-01-14T00:00:00"/>
    <n v="365"/>
    <x v="0"/>
    <n v="3"/>
    <x v="10"/>
    <x v="0"/>
    <s v="Opportunity #119"/>
    <n v="157"/>
    <n v="1"/>
    <x v="0"/>
    <x v="0"/>
    <x v="11"/>
    <x v="21"/>
    <x v="1"/>
    <x v="1"/>
    <x v="1"/>
    <s v="Tanflex"/>
    <s v="Central"/>
    <x v="0"/>
    <n v="0"/>
    <n v="0.22222222222222221"/>
  </r>
  <r>
    <d v="2015-06-30T10:59:00"/>
    <n v="120"/>
    <n v="1"/>
    <n v="101"/>
    <n v="41"/>
    <n v="13"/>
    <n v="11303295"/>
    <x v="118"/>
    <d v="1900-01-26T00:00:00"/>
    <n v="460"/>
    <x v="0"/>
    <n v="6"/>
    <x v="2"/>
    <x v="1"/>
    <s v="Opportunity #120"/>
    <n v="478"/>
    <n v="3"/>
    <x v="2"/>
    <x v="1"/>
    <x v="21"/>
    <x v="40"/>
    <x v="0"/>
    <x v="1"/>
    <x v="1"/>
    <s v="Goldnimlax"/>
    <s v="West"/>
    <x v="2"/>
    <n v="2.05761316872428E-3"/>
    <n v="1"/>
  </r>
  <r>
    <d v="2015-03-20T10:59:00"/>
    <n v="121"/>
    <n v="1"/>
    <n v="61"/>
    <n v="22"/>
    <n v="8"/>
    <n v="254995"/>
    <x v="119"/>
    <d v="1900-01-08T00:00:00"/>
    <n v="376"/>
    <x v="0"/>
    <n v="3"/>
    <x v="10"/>
    <x v="1"/>
    <s v="Opportunity #121"/>
    <n v="28"/>
    <n v="1"/>
    <x v="0"/>
    <x v="1"/>
    <x v="18"/>
    <x v="21"/>
    <x v="1"/>
    <x v="1"/>
    <x v="1"/>
    <s v="an-how"/>
    <s v="Central"/>
    <x v="2"/>
    <n v="0"/>
    <n v="1"/>
  </r>
  <r>
    <d v="2015-02-06T10:59:00"/>
    <n v="122"/>
    <n v="3"/>
    <n v="102"/>
    <n v="42"/>
    <n v="20"/>
    <n v="3266897"/>
    <x v="120"/>
    <d v="1900-01-02T00:00:00"/>
    <n v="399"/>
    <x v="0"/>
    <n v="2"/>
    <x v="7"/>
    <x v="1"/>
    <s v="Opportunity #122"/>
    <n v="203"/>
    <n v="2"/>
    <x v="1"/>
    <x v="1"/>
    <x v="11"/>
    <x v="41"/>
    <x v="0"/>
    <x v="2"/>
    <x v="2"/>
    <s v="Ittechi"/>
    <s v="Central"/>
    <x v="2"/>
    <n v="2.05761316872428E-3"/>
    <n v="4.5"/>
  </r>
  <r>
    <d v="2015-03-31T10:59:00"/>
    <n v="123"/>
    <n v="1"/>
    <n v="26"/>
    <n v="43"/>
    <n v="6"/>
    <n v="1420028"/>
    <x v="121"/>
    <d v="1900-01-25T00:00:00"/>
    <n v="429"/>
    <x v="0"/>
    <n v="3"/>
    <x v="10"/>
    <x v="1"/>
    <s v="Opportunity #123"/>
    <n v="93"/>
    <n v="1"/>
    <x v="0"/>
    <x v="1"/>
    <x v="2"/>
    <x v="42"/>
    <x v="0"/>
    <x v="1"/>
    <x v="1"/>
    <s v="Zummaline"/>
    <s v="Central"/>
    <x v="0"/>
    <n v="2.05761316872428E-3"/>
    <n v="0.22222222222222221"/>
  </r>
  <r>
    <d v="2015-12-31T10:59:00"/>
    <n v="124"/>
    <n v="1"/>
    <n v="52"/>
    <n v="24"/>
    <n v="20"/>
    <n v="3214265"/>
    <x v="122"/>
    <d v="1900-01-19T00:00:00"/>
    <n v="559"/>
    <x v="0"/>
    <n v="12"/>
    <x v="6"/>
    <x v="1"/>
    <s v="Opportunity #124"/>
    <n v="197"/>
    <n v="2"/>
    <x v="1"/>
    <x v="1"/>
    <x v="11"/>
    <x v="23"/>
    <x v="0"/>
    <x v="1"/>
    <x v="1"/>
    <s v="Statcom"/>
    <s v="Central"/>
    <x v="0"/>
    <n v="2.05761316872428E-3"/>
    <n v="1"/>
  </r>
  <r>
    <d v="2015-02-15T10:59:00"/>
    <n v="125"/>
    <n v="3"/>
    <n v="103"/>
    <n v="33"/>
    <n v="6"/>
    <n v="6077984"/>
    <x v="123"/>
    <d v="1900-01-10T00:00:00"/>
    <n v="369"/>
    <x v="0"/>
    <n v="2"/>
    <x v="7"/>
    <x v="0"/>
    <s v="Opportunity #125"/>
    <n v="346"/>
    <n v="3"/>
    <x v="2"/>
    <x v="0"/>
    <x v="2"/>
    <x v="32"/>
    <x v="0"/>
    <x v="2"/>
    <x v="2"/>
    <s v="Icetech"/>
    <s v="West"/>
    <x v="0"/>
    <n v="2.05761316872428E-3"/>
    <n v="4.5"/>
  </r>
  <r>
    <d v="2015-06-30T10:59:00"/>
    <n v="126"/>
    <n v="1"/>
    <n v="104"/>
    <n v="22"/>
    <n v="10"/>
    <n v="1433275"/>
    <x v="124"/>
    <d v="1900-01-01T00:00:00"/>
    <n v="544"/>
    <x v="0"/>
    <n v="6"/>
    <x v="2"/>
    <x v="1"/>
    <s v="Opportunity #126"/>
    <n v="95"/>
    <n v="1"/>
    <x v="0"/>
    <x v="1"/>
    <x v="10"/>
    <x v="21"/>
    <x v="1"/>
    <x v="1"/>
    <x v="1"/>
    <s v="Lamelectrics"/>
    <s v="East"/>
    <x v="2"/>
    <n v="0"/>
    <n v="0.22222222222222221"/>
  </r>
  <r>
    <d v="2015-03-30T10:59:00"/>
    <n v="127"/>
    <n v="3"/>
    <n v="44"/>
    <n v="22"/>
    <n v="3"/>
    <n v="1458342"/>
    <x v="125"/>
    <d v="1900-01-03T00:00:00"/>
    <n v="450"/>
    <x v="0"/>
    <n v="3"/>
    <x v="10"/>
    <x v="1"/>
    <s v="Opportunity #127"/>
    <n v="100"/>
    <n v="1"/>
    <x v="0"/>
    <x v="1"/>
    <x v="13"/>
    <x v="21"/>
    <x v="1"/>
    <x v="2"/>
    <x v="2"/>
    <s v="Zimdex"/>
    <s v="West"/>
    <x v="0"/>
    <n v="0"/>
    <n v="4.5"/>
  </r>
  <r>
    <d v="2015-01-01T10:59:00"/>
    <n v="128"/>
    <n v="5"/>
    <n v="105"/>
    <n v="3"/>
    <n v="9"/>
    <n v="9202838"/>
    <x v="126"/>
    <d v="1899-12-31T00:00:00"/>
    <n v="365"/>
    <x v="0"/>
    <n v="1"/>
    <x v="9"/>
    <x v="1"/>
    <s v="Opportunity #128"/>
    <n v="446"/>
    <n v="3"/>
    <x v="2"/>
    <x v="1"/>
    <x v="7"/>
    <x v="2"/>
    <x v="0"/>
    <x v="4"/>
    <x v="4"/>
    <s v="Sumcity"/>
    <s v="East"/>
    <x v="2"/>
    <n v="2.05761316872428E-3"/>
    <n v="6"/>
  </r>
  <r>
    <d v="2015-11-30T10:59:00"/>
    <n v="129"/>
    <n v="1"/>
    <n v="106"/>
    <n v="44"/>
    <n v="7"/>
    <n v="2475475"/>
    <x v="127"/>
    <d v="1900-01-13T00:00:00"/>
    <n v="412"/>
    <x v="0"/>
    <n v="11"/>
    <x v="4"/>
    <x v="0"/>
    <s v="Opportunity #129"/>
    <n v="163"/>
    <n v="2"/>
    <x v="1"/>
    <x v="0"/>
    <x v="15"/>
    <x v="43"/>
    <x v="0"/>
    <x v="1"/>
    <x v="1"/>
    <s v="Voyavivadax"/>
    <s v="East"/>
    <x v="1"/>
    <n v="2.05761316872428E-3"/>
    <n v="3.7037037037037035E-2"/>
  </r>
  <r>
    <d v="2015-03-23T10:59:00"/>
    <n v="130"/>
    <n v="3"/>
    <n v="107"/>
    <n v="36"/>
    <n v="24"/>
    <n v="1545093"/>
    <x v="128"/>
    <d v="1900-01-14T00:00:00"/>
    <n v="373"/>
    <x v="0"/>
    <n v="3"/>
    <x v="10"/>
    <x v="1"/>
    <s v="Opportunity #130"/>
    <n v="105"/>
    <n v="1"/>
    <x v="0"/>
    <x v="1"/>
    <x v="8"/>
    <x v="35"/>
    <x v="0"/>
    <x v="2"/>
    <x v="2"/>
    <s v="Zaamtech"/>
    <s v="West"/>
    <x v="0"/>
    <n v="2.05761316872428E-3"/>
    <n v="4.5"/>
  </r>
  <r>
    <d v="2015-08-31T10:59:00"/>
    <n v="131"/>
    <n v="1"/>
    <n v="108"/>
    <n v="45"/>
    <n v="20"/>
    <n v="9423322"/>
    <x v="129"/>
    <d v="1900-01-01T00:00:00"/>
    <n v="455"/>
    <x v="0"/>
    <n v="8"/>
    <x v="11"/>
    <x v="1"/>
    <s v="Opportunity #131"/>
    <n v="453"/>
    <n v="3"/>
    <x v="2"/>
    <x v="1"/>
    <x v="11"/>
    <x v="44"/>
    <x v="0"/>
    <x v="1"/>
    <x v="1"/>
    <s v="Can-lab"/>
    <s v="Central"/>
    <x v="0"/>
    <n v="2.05761316872428E-3"/>
    <n v="0.22222222222222221"/>
  </r>
  <r>
    <d v="2015-08-31T10:59:00"/>
    <n v="132"/>
    <n v="1"/>
    <n v="62"/>
    <n v="45"/>
    <n v="19"/>
    <n v="6531368"/>
    <x v="130"/>
    <d v="1900-01-04T00:00:00"/>
    <n v="603"/>
    <x v="0"/>
    <n v="8"/>
    <x v="11"/>
    <x v="2"/>
    <s v="Opportunity #132"/>
    <n v="368"/>
    <n v="3"/>
    <x v="2"/>
    <x v="2"/>
    <x v="1"/>
    <x v="44"/>
    <x v="0"/>
    <x v="1"/>
    <x v="1"/>
    <s v="Voyarondax"/>
    <s v="Central"/>
    <x v="0"/>
    <n v="2.05761316872428E-3"/>
    <n v="1"/>
  </r>
  <r>
    <d v="2015-01-01T10:59:00"/>
    <n v="133"/>
    <n v="4"/>
    <n v="109"/>
    <n v="46"/>
    <n v="21"/>
    <n v="1888265"/>
    <x v="131"/>
    <d v="1899-12-31T00:00:00"/>
    <n v="365"/>
    <x v="0"/>
    <n v="1"/>
    <x v="9"/>
    <x v="1"/>
    <s v="Opportunity #133"/>
    <n v="128"/>
    <n v="1"/>
    <x v="0"/>
    <x v="1"/>
    <x v="14"/>
    <x v="45"/>
    <x v="0"/>
    <x v="3"/>
    <x v="3"/>
    <s v="Canmedia"/>
    <s v="Central"/>
    <x v="0"/>
    <n v="2.05761316872428E-3"/>
    <n v="14"/>
  </r>
  <r>
    <d v="2015-12-31T10:59:00"/>
    <n v="134"/>
    <n v="1"/>
    <n v="110"/>
    <n v="22"/>
    <n v="17"/>
    <n v="3249174"/>
    <x v="132"/>
    <d v="1900-01-07T00:00:00"/>
    <n v="632"/>
    <x v="0"/>
    <n v="12"/>
    <x v="6"/>
    <x v="1"/>
    <s v="Opportunity #134"/>
    <n v="201"/>
    <n v="2"/>
    <x v="1"/>
    <x v="1"/>
    <x v="20"/>
    <x v="21"/>
    <x v="1"/>
    <x v="1"/>
    <x v="1"/>
    <s v="sanstrip"/>
    <s v="West"/>
    <x v="0"/>
    <n v="0"/>
    <n v="7.1428571428571425E-2"/>
  </r>
  <r>
    <d v="2015-05-15T10:59:00"/>
    <n v="135"/>
    <n v="2"/>
    <n v="67"/>
    <n v="3"/>
    <n v="16"/>
    <n v="9241668"/>
    <x v="133"/>
    <d v="1900-01-11T00:00:00"/>
    <n v="488"/>
    <x v="0"/>
    <n v="5"/>
    <x v="0"/>
    <x v="1"/>
    <s v="Opportunity #135"/>
    <n v="448"/>
    <n v="3"/>
    <x v="2"/>
    <x v="1"/>
    <x v="4"/>
    <x v="2"/>
    <x v="0"/>
    <x v="0"/>
    <x v="0"/>
    <s v="Salttouch"/>
    <s v="East"/>
    <x v="0"/>
    <n v="2.05761316872428E-3"/>
    <n v="0.5"/>
  </r>
  <r>
    <d v="2015-03-15T10:59:00"/>
    <n v="136"/>
    <n v="3"/>
    <n v="53"/>
    <n v="22"/>
    <n v="23"/>
    <n v="2305209"/>
    <x v="134"/>
    <d v="1899-12-31T00:00:00"/>
    <n v="407"/>
    <x v="0"/>
    <n v="3"/>
    <x v="10"/>
    <x v="1"/>
    <s v="Opportunity #136"/>
    <n v="152"/>
    <n v="1"/>
    <x v="0"/>
    <x v="1"/>
    <x v="19"/>
    <x v="21"/>
    <x v="1"/>
    <x v="2"/>
    <x v="2"/>
    <s v="Acetex"/>
    <s v="East"/>
    <x v="0"/>
    <n v="0"/>
    <n v="9"/>
  </r>
  <r>
    <d v="2015-01-16T10:59:00"/>
    <n v="137"/>
    <n v="5"/>
    <n v="111"/>
    <n v="47"/>
    <n v="25"/>
    <n v="6902542"/>
    <x v="135"/>
    <d v="1900-01-14T00:00:00"/>
    <n v="366"/>
    <x v="0"/>
    <n v="1"/>
    <x v="9"/>
    <x v="1"/>
    <s v="Opportunity #137"/>
    <n v="381"/>
    <n v="3"/>
    <x v="2"/>
    <x v="1"/>
    <x v="9"/>
    <x v="46"/>
    <x v="0"/>
    <x v="4"/>
    <x v="4"/>
    <s v="Tampfan"/>
    <s v="West"/>
    <x v="2"/>
    <n v="2.05761316872428E-3"/>
    <n v="6"/>
  </r>
  <r>
    <d v="2015-12-31T10:59:00"/>
    <n v="138"/>
    <n v="1"/>
    <n v="112"/>
    <n v="8"/>
    <n v="11"/>
    <n v="7487601"/>
    <x v="136"/>
    <d v="1900-01-07T00:00:00"/>
    <n v="691"/>
    <x v="0"/>
    <n v="12"/>
    <x v="6"/>
    <x v="0"/>
    <s v="Opportunity #138"/>
    <n v="401"/>
    <n v="3"/>
    <x v="2"/>
    <x v="0"/>
    <x v="16"/>
    <x v="7"/>
    <x v="0"/>
    <x v="1"/>
    <x v="1"/>
    <s v="tintechno"/>
    <s v="East"/>
    <x v="0"/>
    <n v="2.05761316872428E-3"/>
    <n v="3.7037037037037035E-2"/>
  </r>
  <r>
    <d v="2015-06-25T10:59:00"/>
    <n v="139"/>
    <n v="2"/>
    <n v="66"/>
    <n v="8"/>
    <n v="18"/>
    <n v="2516946"/>
    <x v="137"/>
    <d v="1900-01-23T00:00:00"/>
    <n v="397"/>
    <x v="0"/>
    <n v="6"/>
    <x v="2"/>
    <x v="0"/>
    <s v="Opportunity #139"/>
    <n v="164"/>
    <n v="2"/>
    <x v="1"/>
    <x v="0"/>
    <x v="3"/>
    <x v="7"/>
    <x v="0"/>
    <x v="0"/>
    <x v="0"/>
    <s v="trankix"/>
    <s v="Central"/>
    <x v="1"/>
    <n v="2.05761316872428E-3"/>
    <n v="0.5"/>
  </r>
  <r>
    <d v="2015-12-31T10:59:00"/>
    <n v="140"/>
    <n v="1"/>
    <n v="22"/>
    <n v="8"/>
    <n v="8"/>
    <n v="698103"/>
    <x v="138"/>
    <d v="1900-01-01T00:00:00"/>
    <n v="577"/>
    <x v="0"/>
    <n v="12"/>
    <x v="6"/>
    <x v="1"/>
    <s v="Opportunity #140"/>
    <n v="54"/>
    <n v="1"/>
    <x v="0"/>
    <x v="1"/>
    <x v="18"/>
    <x v="7"/>
    <x v="0"/>
    <x v="1"/>
    <x v="1"/>
    <s v="Lamdexon"/>
    <s v="East"/>
    <x v="0"/>
    <n v="2.05761316872428E-3"/>
    <n v="2"/>
  </r>
  <r>
    <d v="2015-08-31T10:59:00"/>
    <n v="141"/>
    <n v="2"/>
    <n v="113"/>
    <n v="8"/>
    <n v="17"/>
    <n v="5294952"/>
    <x v="139"/>
    <d v="1900-01-05T00:00:00"/>
    <n v="543"/>
    <x v="0"/>
    <n v="8"/>
    <x v="11"/>
    <x v="1"/>
    <s v="Opportunity #141"/>
    <n v="310"/>
    <n v="2"/>
    <x v="1"/>
    <x v="1"/>
    <x v="20"/>
    <x v="7"/>
    <x v="0"/>
    <x v="0"/>
    <x v="0"/>
    <s v="Zontam"/>
    <s v="West"/>
    <x v="0"/>
    <n v="2.05761316872428E-3"/>
    <n v="0.5"/>
  </r>
  <r>
    <d v="2015-02-27T10:59:00"/>
    <n v="142"/>
    <n v="4"/>
    <n v="11"/>
    <n v="8"/>
    <n v="2"/>
    <n v="5422637"/>
    <x v="140"/>
    <d v="1900-01-01T00:00:00"/>
    <n v="421"/>
    <x v="0"/>
    <n v="2"/>
    <x v="7"/>
    <x v="0"/>
    <s v="Opportunity #142"/>
    <n v="316"/>
    <n v="2"/>
    <x v="1"/>
    <x v="0"/>
    <x v="17"/>
    <x v="7"/>
    <x v="0"/>
    <x v="3"/>
    <x v="3"/>
    <s v="zumplus"/>
    <s v="East"/>
    <x v="0"/>
    <n v="2.05761316872428E-3"/>
    <n v="28"/>
  </r>
  <r>
    <d v="2015-05-29T10:59:00"/>
    <n v="143"/>
    <n v="3"/>
    <n v="11"/>
    <n v="8"/>
    <n v="2"/>
    <n v="4973154"/>
    <x v="141"/>
    <d v="1900-01-10T00:00:00"/>
    <n v="413"/>
    <x v="0"/>
    <n v="5"/>
    <x v="0"/>
    <x v="0"/>
    <s v="Opportunity #143"/>
    <n v="292"/>
    <n v="2"/>
    <x v="1"/>
    <x v="0"/>
    <x v="17"/>
    <x v="7"/>
    <x v="0"/>
    <x v="2"/>
    <x v="2"/>
    <s v="zumplus"/>
    <s v="East"/>
    <x v="0"/>
    <n v="2.05761316872428E-3"/>
    <n v="0.32142857142857145"/>
  </r>
  <r>
    <d v="2015-03-31T10:59:00"/>
    <n v="144"/>
    <n v="3"/>
    <n v="114"/>
    <n v="22"/>
    <n v="4"/>
    <n v="436862"/>
    <x v="142"/>
    <d v="1900-01-02T00:00:00"/>
    <n v="393"/>
    <x v="0"/>
    <n v="3"/>
    <x v="10"/>
    <x v="1"/>
    <s v="Opportunity #144"/>
    <n v="39"/>
    <n v="1"/>
    <x v="0"/>
    <x v="1"/>
    <x v="24"/>
    <x v="21"/>
    <x v="1"/>
    <x v="2"/>
    <x v="2"/>
    <s v="Groovetex"/>
    <s v="West"/>
    <x v="0"/>
    <n v="0"/>
    <n v="1"/>
  </r>
  <r>
    <d v="2015-12-31T10:59:00"/>
    <n v="145"/>
    <n v="1"/>
    <n v="115"/>
    <n v="22"/>
    <n v="2"/>
    <n v="4780670"/>
    <x v="143"/>
    <d v="1900-01-23T00:00:00"/>
    <n v="494"/>
    <x v="0"/>
    <n v="12"/>
    <x v="6"/>
    <x v="2"/>
    <s v="Opportunity #145"/>
    <n v="281"/>
    <n v="2"/>
    <x v="1"/>
    <x v="2"/>
    <x v="17"/>
    <x v="21"/>
    <x v="1"/>
    <x v="1"/>
    <x v="1"/>
    <s v="Saolamfind"/>
    <s v="West"/>
    <x v="2"/>
    <n v="0"/>
    <n v="0.22222222222222221"/>
  </r>
  <r>
    <d v="2015-03-16T10:59:00"/>
    <n v="146"/>
    <n v="2"/>
    <n v="53"/>
    <n v="22"/>
    <n v="1"/>
    <n v="4969276"/>
    <x v="144"/>
    <d v="1900-01-04T00:00:00"/>
    <n v="404"/>
    <x v="0"/>
    <n v="3"/>
    <x v="10"/>
    <x v="2"/>
    <s v="Opportunity #146"/>
    <n v="291"/>
    <n v="2"/>
    <x v="1"/>
    <x v="2"/>
    <x v="22"/>
    <x v="21"/>
    <x v="1"/>
    <x v="0"/>
    <x v="0"/>
    <s v="Acetex"/>
    <s v="East"/>
    <x v="0"/>
    <n v="0"/>
    <n v="0.5"/>
  </r>
  <r>
    <d v="2015-03-16T10:59:00"/>
    <n v="147"/>
    <n v="4"/>
    <n v="116"/>
    <n v="22"/>
    <n v="5"/>
    <n v="3586972"/>
    <x v="145"/>
    <d v="1900-01-09T00:00:00"/>
    <n v="371"/>
    <x v="0"/>
    <n v="3"/>
    <x v="10"/>
    <x v="0"/>
    <s v="Opportunity #147"/>
    <n v="221"/>
    <n v="2"/>
    <x v="1"/>
    <x v="0"/>
    <x v="6"/>
    <x v="21"/>
    <x v="1"/>
    <x v="3"/>
    <x v="3"/>
    <s v="Dongtech"/>
    <s v="East"/>
    <x v="2"/>
    <n v="0"/>
    <n v="28"/>
  </r>
  <r>
    <d v="2015-03-16T10:59:00"/>
    <n v="148"/>
    <n v="1"/>
    <n v="117"/>
    <n v="22"/>
    <n v="12"/>
    <n v="2169281"/>
    <x v="146"/>
    <d v="1900-01-06T00:00:00"/>
    <n v="374"/>
    <x v="0"/>
    <n v="3"/>
    <x v="10"/>
    <x v="0"/>
    <s v="Opportunity #148"/>
    <n v="143"/>
    <n v="1"/>
    <x v="0"/>
    <x v="0"/>
    <x v="5"/>
    <x v="21"/>
    <x v="1"/>
    <x v="1"/>
    <x v="1"/>
    <s v="Vivacare"/>
    <s v="East"/>
    <x v="0"/>
    <n v="0"/>
    <n v="7.1428571428571425E-2"/>
  </r>
  <r>
    <d v="2015-06-15T10:59:00"/>
    <n v="149"/>
    <n v="2"/>
    <n v="118"/>
    <n v="48"/>
    <n v="10"/>
    <n v="9040519"/>
    <x v="147"/>
    <d v="1900-01-10T00:00:00"/>
    <n v="520"/>
    <x v="0"/>
    <n v="6"/>
    <x v="2"/>
    <x v="1"/>
    <s v="Opportunity #149"/>
    <n v="441"/>
    <n v="3"/>
    <x v="2"/>
    <x v="1"/>
    <x v="10"/>
    <x v="47"/>
    <x v="0"/>
    <x v="0"/>
    <x v="0"/>
    <s v="Standrill"/>
    <s v="East"/>
    <x v="1"/>
    <n v="2.05761316872428E-3"/>
    <n v="0.5"/>
  </r>
  <r>
    <d v="2015-01-05T10:59:00"/>
    <n v="150"/>
    <n v="3"/>
    <n v="119"/>
    <n v="5"/>
    <n v="19"/>
    <n v="5289769"/>
    <x v="148"/>
    <d v="1900-01-04T00:00:00"/>
    <n v="365"/>
    <x v="0"/>
    <n v="1"/>
    <x v="9"/>
    <x v="0"/>
    <s v="Opportunity #150"/>
    <n v="307"/>
    <n v="2"/>
    <x v="1"/>
    <x v="0"/>
    <x v="1"/>
    <x v="4"/>
    <x v="0"/>
    <x v="2"/>
    <x v="2"/>
    <s v="Inlane"/>
    <s v="West"/>
    <x v="1"/>
    <n v="2.05761316872428E-3"/>
    <n v="9"/>
  </r>
  <r>
    <d v="2015-10-31T10:59:00"/>
    <n v="151"/>
    <n v="1"/>
    <n v="120"/>
    <n v="3"/>
    <n v="8"/>
    <n v="2696026"/>
    <x v="149"/>
    <d v="1900-01-21T00:00:00"/>
    <n v="404"/>
    <x v="0"/>
    <n v="10"/>
    <x v="3"/>
    <x v="1"/>
    <s v="Opportunity #151"/>
    <n v="176"/>
    <n v="2"/>
    <x v="1"/>
    <x v="1"/>
    <x v="18"/>
    <x v="2"/>
    <x v="0"/>
    <x v="1"/>
    <x v="1"/>
    <s v="Blackjob"/>
    <s v="West"/>
    <x v="2"/>
    <n v="2.05761316872428E-3"/>
    <n v="0.22222222222222221"/>
  </r>
  <r>
    <d v="2015-12-31T10:59:00"/>
    <n v="152"/>
    <n v="1"/>
    <n v="121"/>
    <n v="33"/>
    <n v="15"/>
    <n v="2197463"/>
    <x v="150"/>
    <d v="1900-01-26T00:00:00"/>
    <n v="430"/>
    <x v="0"/>
    <n v="12"/>
    <x v="6"/>
    <x v="1"/>
    <s v="Opportunity #152"/>
    <n v="146"/>
    <n v="1"/>
    <x v="0"/>
    <x v="1"/>
    <x v="12"/>
    <x v="32"/>
    <x v="0"/>
    <x v="1"/>
    <x v="1"/>
    <s v="newtex"/>
    <s v="East"/>
    <x v="1"/>
    <n v="2.05761316872428E-3"/>
    <n v="1"/>
  </r>
  <r>
    <d v="2015-04-17T10:59:00"/>
    <n v="153"/>
    <n v="3"/>
    <n v="60"/>
    <n v="22"/>
    <n v="1"/>
    <n v="5675097"/>
    <x v="151"/>
    <d v="1900-01-15T00:00:00"/>
    <n v="366"/>
    <x v="0"/>
    <n v="4"/>
    <x v="8"/>
    <x v="1"/>
    <s v="Opportunity #153"/>
    <n v="328"/>
    <n v="3"/>
    <x v="2"/>
    <x v="1"/>
    <x v="22"/>
    <x v="21"/>
    <x v="1"/>
    <x v="2"/>
    <x v="2"/>
    <s v="Quotelax"/>
    <s v="Central"/>
    <x v="2"/>
    <n v="0"/>
    <n v="4.5"/>
  </r>
  <r>
    <d v="2015-03-01T10:59:00"/>
    <n v="154"/>
    <n v="3"/>
    <n v="122"/>
    <n v="22"/>
    <n v="2"/>
    <n v="3709701"/>
    <x v="152"/>
    <d v="1899-12-31T00:00:00"/>
    <n v="365"/>
    <x v="0"/>
    <n v="3"/>
    <x v="10"/>
    <x v="0"/>
    <s v="Opportunity #154"/>
    <n v="229"/>
    <n v="2"/>
    <x v="1"/>
    <x v="0"/>
    <x v="17"/>
    <x v="21"/>
    <x v="1"/>
    <x v="2"/>
    <x v="2"/>
    <s v="Saltholdings"/>
    <s v="East"/>
    <x v="0"/>
    <n v="0"/>
    <n v="1"/>
  </r>
  <r>
    <d v="2015-12-31T10:59:00"/>
    <n v="155"/>
    <n v="1"/>
    <n v="123"/>
    <n v="49"/>
    <n v="3"/>
    <n v="1211056"/>
    <x v="153"/>
    <d v="1899-12-31T00:00:00"/>
    <n v="456"/>
    <x v="0"/>
    <n v="12"/>
    <x v="6"/>
    <x v="0"/>
    <s v="Opportunity #155"/>
    <n v="83"/>
    <n v="1"/>
    <x v="0"/>
    <x v="0"/>
    <x v="13"/>
    <x v="48"/>
    <x v="0"/>
    <x v="1"/>
    <x v="1"/>
    <s v="Sanquozim"/>
    <s v="East"/>
    <x v="1"/>
    <n v="2.05761316872428E-3"/>
    <n v="0.22222222222222221"/>
  </r>
  <r>
    <d v="2015-12-31T10:59:00"/>
    <n v="156"/>
    <n v="1"/>
    <n v="124"/>
    <n v="50"/>
    <n v="5"/>
    <n v="11288775"/>
    <x v="154"/>
    <d v="1900-01-24T00:00:00"/>
    <n v="646"/>
    <x v="0"/>
    <n v="12"/>
    <x v="6"/>
    <x v="0"/>
    <s v="Opportunity #156"/>
    <n v="477"/>
    <n v="3"/>
    <x v="2"/>
    <x v="0"/>
    <x v="6"/>
    <x v="49"/>
    <x v="0"/>
    <x v="1"/>
    <x v="1"/>
    <s v="Matphase"/>
    <s v="West"/>
    <x v="1"/>
    <n v="2.05761316872428E-3"/>
    <n v="1"/>
  </r>
  <r>
    <d v="2015-05-29T10:59:00"/>
    <n v="157"/>
    <n v="1"/>
    <n v="125"/>
    <n v="3"/>
    <n v="12"/>
    <n v="7598703"/>
    <x v="155"/>
    <d v="1900-01-21T00:00:00"/>
    <n v="402"/>
    <x v="0"/>
    <n v="5"/>
    <x v="0"/>
    <x v="0"/>
    <s v="Opportunity #157"/>
    <n v="403"/>
    <n v="3"/>
    <x v="2"/>
    <x v="0"/>
    <x v="5"/>
    <x v="2"/>
    <x v="0"/>
    <x v="1"/>
    <x v="1"/>
    <s v="Silvertrans"/>
    <s v="Central"/>
    <x v="2"/>
    <n v="2.05761316872428E-3"/>
    <n v="1"/>
  </r>
  <r>
    <d v="2015-11-20T10:59:00"/>
    <n v="158"/>
    <n v="1"/>
    <n v="126"/>
    <n v="22"/>
    <n v="19"/>
    <n v="2691123"/>
    <x v="156"/>
    <d v="1900-01-18T00:00:00"/>
    <n v="397"/>
    <x v="0"/>
    <n v="11"/>
    <x v="4"/>
    <x v="1"/>
    <s v="Opportunity #158"/>
    <n v="175"/>
    <n v="2"/>
    <x v="1"/>
    <x v="1"/>
    <x v="1"/>
    <x v="21"/>
    <x v="1"/>
    <x v="1"/>
    <x v="1"/>
    <s v="Scotdrill"/>
    <s v="West"/>
    <x v="2"/>
    <n v="0"/>
    <n v="1"/>
  </r>
  <r>
    <d v="2015-10-31T10:59:00"/>
    <n v="159"/>
    <n v="1"/>
    <n v="127"/>
    <n v="3"/>
    <n v="25"/>
    <n v="925945"/>
    <x v="157"/>
    <d v="1900-01-29T00:00:00"/>
    <n v="549"/>
    <x v="0"/>
    <n v="10"/>
    <x v="3"/>
    <x v="1"/>
    <s v="Opportunity #159"/>
    <n v="65"/>
    <n v="1"/>
    <x v="0"/>
    <x v="1"/>
    <x v="9"/>
    <x v="2"/>
    <x v="0"/>
    <x v="1"/>
    <x v="1"/>
    <s v="Vol-find"/>
    <s v="Central"/>
    <x v="1"/>
    <n v="2.05761316872428E-3"/>
    <n v="1"/>
  </r>
  <r>
    <d v="2015-01-28T10:59:00"/>
    <n v="160"/>
    <n v="4"/>
    <n v="128"/>
    <n v="51"/>
    <n v="1"/>
    <n v="8783604"/>
    <x v="158"/>
    <d v="1900-01-06T00:00:00"/>
    <n v="386"/>
    <x v="0"/>
    <n v="1"/>
    <x v="9"/>
    <x v="1"/>
    <s v="Opportunity #160"/>
    <n v="434"/>
    <n v="3"/>
    <x v="2"/>
    <x v="1"/>
    <x v="22"/>
    <x v="50"/>
    <x v="0"/>
    <x v="3"/>
    <x v="3"/>
    <s v="Zotlamflex"/>
    <s v="West"/>
    <x v="0"/>
    <n v="2.05761316872428E-3"/>
    <n v="14"/>
  </r>
  <r>
    <d v="2015-01-30T10:59:00"/>
    <n v="161"/>
    <n v="5"/>
    <n v="129"/>
    <n v="22"/>
    <n v="12"/>
    <n v="6081007"/>
    <x v="159"/>
    <d v="1900-01-06T00:00:00"/>
    <n v="388"/>
    <x v="0"/>
    <n v="1"/>
    <x v="9"/>
    <x v="2"/>
    <s v="Opportunity #161"/>
    <n v="347"/>
    <n v="3"/>
    <x v="2"/>
    <x v="2"/>
    <x v="5"/>
    <x v="21"/>
    <x v="1"/>
    <x v="4"/>
    <x v="4"/>
    <s v="Zerelectronics"/>
    <s v="East"/>
    <x v="1"/>
    <n v="0"/>
    <n v="1.9285714285714286"/>
  </r>
  <r>
    <d v="2015-05-29T10:59:00"/>
    <n v="162"/>
    <n v="2"/>
    <n v="130"/>
    <n v="52"/>
    <n v="14"/>
    <n v="7144439"/>
    <x v="160"/>
    <d v="1900-01-02T00:00:00"/>
    <n v="511"/>
    <x v="0"/>
    <n v="5"/>
    <x v="0"/>
    <x v="2"/>
    <s v="Opportunity #162"/>
    <n v="389"/>
    <n v="3"/>
    <x v="2"/>
    <x v="2"/>
    <x v="23"/>
    <x v="51"/>
    <x v="0"/>
    <x v="0"/>
    <x v="0"/>
    <s v="Zermedia"/>
    <s v="East"/>
    <x v="1"/>
    <n v="2.05761316872428E-3"/>
    <n v="1.8518518518518517E-2"/>
  </r>
  <r>
    <d v="2015-02-27T10:59:00"/>
    <n v="163"/>
    <n v="3"/>
    <n v="99"/>
    <n v="22"/>
    <n v="19"/>
    <n v="3475768"/>
    <x v="161"/>
    <d v="1900-01-22T00:00:00"/>
    <n v="369"/>
    <x v="0"/>
    <n v="2"/>
    <x v="7"/>
    <x v="2"/>
    <s v="Opportunity #163"/>
    <n v="214"/>
    <n v="2"/>
    <x v="1"/>
    <x v="2"/>
    <x v="1"/>
    <x v="21"/>
    <x v="1"/>
    <x v="2"/>
    <x v="2"/>
    <s v="freefix"/>
    <s v="East"/>
    <x v="1"/>
    <n v="0"/>
    <n v="9"/>
  </r>
  <r>
    <d v="2015-02-27T10:59:00"/>
    <n v="164"/>
    <n v="3"/>
    <n v="131"/>
    <n v="22"/>
    <n v="2"/>
    <n v="5578451"/>
    <x v="162"/>
    <d v="1900-01-20T00:00:00"/>
    <n v="402"/>
    <x v="0"/>
    <n v="2"/>
    <x v="7"/>
    <x v="0"/>
    <s v="Opportunity #164"/>
    <n v="320"/>
    <n v="2"/>
    <x v="1"/>
    <x v="0"/>
    <x v="17"/>
    <x v="21"/>
    <x v="1"/>
    <x v="2"/>
    <x v="2"/>
    <s v="Zoomla"/>
    <s v="East"/>
    <x v="1"/>
    <n v="0"/>
    <n v="1"/>
  </r>
  <r>
    <d v="2015-02-27T10:59:00"/>
    <n v="165"/>
    <n v="1"/>
    <n v="132"/>
    <n v="22"/>
    <n v="15"/>
    <n v="2675623"/>
    <x v="163"/>
    <d v="1900-01-13T00:00:00"/>
    <n v="378"/>
    <x v="0"/>
    <n v="2"/>
    <x v="7"/>
    <x v="0"/>
    <s v="Opportunity #165"/>
    <n v="173"/>
    <n v="2"/>
    <x v="1"/>
    <x v="0"/>
    <x v="12"/>
    <x v="21"/>
    <x v="1"/>
    <x v="1"/>
    <x v="1"/>
    <s v="Newphase"/>
    <s v="East"/>
    <x v="1"/>
    <n v="0"/>
    <n v="0.22222222222222221"/>
  </r>
  <r>
    <d v="2015-04-30T10:59:00"/>
    <n v="166"/>
    <n v="1"/>
    <n v="133"/>
    <n v="22"/>
    <n v="21"/>
    <n v="3861791"/>
    <x v="164"/>
    <d v="1900-01-09T00:00:00"/>
    <n v="385"/>
    <x v="0"/>
    <n v="4"/>
    <x v="8"/>
    <x v="1"/>
    <s v="Opportunity #166"/>
    <n v="236"/>
    <n v="2"/>
    <x v="1"/>
    <x v="1"/>
    <x v="14"/>
    <x v="21"/>
    <x v="1"/>
    <x v="1"/>
    <x v="1"/>
    <s v="Sailelectrics"/>
    <s v="East"/>
    <x v="1"/>
    <n v="0"/>
    <n v="1"/>
  </r>
  <r>
    <d v="2015-11-30T10:59:00"/>
    <n v="167"/>
    <n v="1"/>
    <n v="134"/>
    <n v="48"/>
    <n v="19"/>
    <n v="9170593"/>
    <x v="165"/>
    <d v="1900-01-18T00:00:00"/>
    <n v="560"/>
    <x v="0"/>
    <n v="11"/>
    <x v="4"/>
    <x v="0"/>
    <s v="Opportunity #167"/>
    <n v="444"/>
    <n v="3"/>
    <x v="2"/>
    <x v="0"/>
    <x v="1"/>
    <x v="47"/>
    <x v="0"/>
    <x v="1"/>
    <x v="1"/>
    <s v="Ranktouch"/>
    <s v="East"/>
    <x v="1"/>
    <n v="2.05761316872428E-3"/>
    <n v="1"/>
  </r>
  <r>
    <d v="2015-02-27T10:59:00"/>
    <n v="168"/>
    <n v="3"/>
    <n v="135"/>
    <n v="22"/>
    <n v="10"/>
    <n v="782755"/>
    <x v="166"/>
    <d v="1899-12-31T00:00:00"/>
    <n v="391"/>
    <x v="0"/>
    <n v="2"/>
    <x v="7"/>
    <x v="1"/>
    <s v="Opportunity #168"/>
    <n v="60"/>
    <n v="1"/>
    <x v="0"/>
    <x v="1"/>
    <x v="10"/>
    <x v="21"/>
    <x v="1"/>
    <x v="2"/>
    <x v="2"/>
    <s v="zimstreet"/>
    <s v="West"/>
    <x v="1"/>
    <n v="0"/>
    <n v="4.5"/>
  </r>
  <r>
    <d v="2015-02-27T10:59:00"/>
    <n v="169"/>
    <n v="4"/>
    <n v="136"/>
    <n v="22"/>
    <n v="4"/>
    <n v="518120"/>
    <x v="167"/>
    <d v="1900-01-05T00:00:00"/>
    <n v="417"/>
    <x v="0"/>
    <n v="2"/>
    <x v="7"/>
    <x v="2"/>
    <s v="Opportunity #169"/>
    <n v="42"/>
    <n v="1"/>
    <x v="0"/>
    <x v="2"/>
    <x v="24"/>
    <x v="21"/>
    <x v="1"/>
    <x v="3"/>
    <x v="3"/>
    <s v="Ontohouse"/>
    <s v="East"/>
    <x v="1"/>
    <n v="0"/>
    <n v="3.1111111111111112"/>
  </r>
  <r>
    <d v="2015-04-30T10:59:00"/>
    <n v="170"/>
    <n v="1"/>
    <n v="137"/>
    <n v="22"/>
    <n v="16"/>
    <n v="5691292"/>
    <x v="168"/>
    <d v="1900-01-02T00:00:00"/>
    <n v="423"/>
    <x v="0"/>
    <n v="4"/>
    <x v="8"/>
    <x v="1"/>
    <s v="Opportunity #170"/>
    <n v="330"/>
    <n v="3"/>
    <x v="2"/>
    <x v="1"/>
    <x v="4"/>
    <x v="21"/>
    <x v="1"/>
    <x v="1"/>
    <x v="1"/>
    <s v="Rankcom"/>
    <s v="East"/>
    <x v="1"/>
    <n v="0"/>
    <n v="7.1428571428571425E-2"/>
  </r>
  <r>
    <d v="2015-04-30T10:59:00"/>
    <n v="171"/>
    <n v="2"/>
    <n v="138"/>
    <n v="22"/>
    <n v="6"/>
    <n v="356848"/>
    <x v="169"/>
    <d v="1900-01-22T00:00:00"/>
    <n v="462"/>
    <x v="0"/>
    <n v="4"/>
    <x v="8"/>
    <x v="1"/>
    <s v="Opportunity #171"/>
    <n v="32"/>
    <n v="1"/>
    <x v="0"/>
    <x v="1"/>
    <x v="2"/>
    <x v="21"/>
    <x v="1"/>
    <x v="0"/>
    <x v="0"/>
    <s v="Opecore"/>
    <s v="East"/>
    <x v="1"/>
    <n v="0"/>
    <n v="0.5"/>
  </r>
  <r>
    <d v="2015-06-01T10:59:00"/>
    <n v="172"/>
    <n v="1"/>
    <n v="139"/>
    <n v="22"/>
    <n v="19"/>
    <n v="1009421"/>
    <x v="170"/>
    <d v="1899-12-31T00:00:00"/>
    <n v="426"/>
    <x v="0"/>
    <n v="6"/>
    <x v="2"/>
    <x v="1"/>
    <s v="Opportunity #172"/>
    <n v="73"/>
    <n v="1"/>
    <x v="0"/>
    <x v="1"/>
    <x v="1"/>
    <x v="21"/>
    <x v="1"/>
    <x v="1"/>
    <x v="1"/>
    <s v="Jaycorporation"/>
    <s v="East"/>
    <x v="2"/>
    <n v="0"/>
    <n v="2"/>
  </r>
  <r>
    <d v="2015-11-30T10:59:00"/>
    <n v="173"/>
    <n v="1"/>
    <n v="52"/>
    <n v="3"/>
    <n v="19"/>
    <n v="6335917"/>
    <x v="171"/>
    <d v="1900-01-26T00:00:00"/>
    <n v="582"/>
    <x v="0"/>
    <n v="11"/>
    <x v="4"/>
    <x v="2"/>
    <s v="Opportunity #173"/>
    <n v="360"/>
    <n v="3"/>
    <x v="2"/>
    <x v="2"/>
    <x v="1"/>
    <x v="2"/>
    <x v="0"/>
    <x v="1"/>
    <x v="1"/>
    <s v="Statcom"/>
    <s v="Central"/>
    <x v="0"/>
    <n v="2.05761316872428E-3"/>
    <n v="1"/>
  </r>
  <r>
    <d v="2015-10-31T10:59:00"/>
    <n v="174"/>
    <n v="1"/>
    <n v="105"/>
    <n v="3"/>
    <n v="1"/>
    <n v="5633553"/>
    <x v="172"/>
    <d v="1900-01-02T00:00:00"/>
    <n v="607"/>
    <x v="0"/>
    <n v="10"/>
    <x v="3"/>
    <x v="0"/>
    <s v="Opportunity #174"/>
    <n v="323"/>
    <n v="3"/>
    <x v="2"/>
    <x v="0"/>
    <x v="22"/>
    <x v="2"/>
    <x v="0"/>
    <x v="1"/>
    <x v="1"/>
    <s v="Sumcity"/>
    <s v="East"/>
    <x v="2"/>
    <n v="2.05761316872428E-3"/>
    <n v="1"/>
  </r>
  <r>
    <d v="2015-12-31T10:59:00"/>
    <n v="175"/>
    <n v="1"/>
    <n v="140"/>
    <n v="3"/>
    <n v="16"/>
    <n v="2567520"/>
    <x v="173"/>
    <d v="1900-01-14T00:00:00"/>
    <n v="684"/>
    <x v="0"/>
    <n v="12"/>
    <x v="6"/>
    <x v="0"/>
    <s v="Opportunity #175"/>
    <n v="168"/>
    <n v="2"/>
    <x v="1"/>
    <x v="0"/>
    <x v="4"/>
    <x v="2"/>
    <x v="0"/>
    <x v="1"/>
    <x v="1"/>
    <s v="techistreet"/>
    <s v="East"/>
    <x v="0"/>
    <n v="2.05761316872428E-3"/>
    <n v="1"/>
  </r>
  <r>
    <d v="2015-10-31T10:59:00"/>
    <n v="176"/>
    <n v="1"/>
    <n v="3"/>
    <n v="3"/>
    <n v="5"/>
    <n v="73320"/>
    <x v="174"/>
    <d v="1900-01-08T00:00:00"/>
    <n v="387"/>
    <x v="0"/>
    <n v="10"/>
    <x v="3"/>
    <x v="2"/>
    <s v="Opportunity #176"/>
    <n v="8"/>
    <n v="1"/>
    <x v="0"/>
    <x v="2"/>
    <x v="6"/>
    <x v="2"/>
    <x v="0"/>
    <x v="1"/>
    <x v="1"/>
    <s v="Danmedia"/>
    <s v="West"/>
    <x v="2"/>
    <n v="2.05761316872428E-3"/>
    <n v="1"/>
  </r>
  <r>
    <d v="2015-10-31T10:59:00"/>
    <n v="177"/>
    <n v="1"/>
    <n v="141"/>
    <n v="3"/>
    <n v="21"/>
    <n v="378905"/>
    <x v="175"/>
    <d v="1900-01-06T00:00:00"/>
    <n v="389"/>
    <x v="0"/>
    <n v="10"/>
    <x v="3"/>
    <x v="0"/>
    <s v="Opportunity #177"/>
    <n v="35"/>
    <n v="1"/>
    <x v="0"/>
    <x v="0"/>
    <x v="14"/>
    <x v="2"/>
    <x v="0"/>
    <x v="1"/>
    <x v="1"/>
    <s v="Spanlax"/>
    <s v="East"/>
    <x v="0"/>
    <n v="2.05761316872428E-3"/>
    <n v="1"/>
  </r>
  <r>
    <d v="2015-06-15T10:59:00"/>
    <n v="178"/>
    <n v="1"/>
    <n v="142"/>
    <n v="22"/>
    <n v="17"/>
    <n v="6407018"/>
    <x v="176"/>
    <d v="1900-01-11T00:00:00"/>
    <n v="460"/>
    <x v="0"/>
    <n v="6"/>
    <x v="2"/>
    <x v="0"/>
    <s v="Opportunity #178"/>
    <n v="364"/>
    <n v="3"/>
    <x v="2"/>
    <x v="0"/>
    <x v="20"/>
    <x v="21"/>
    <x v="1"/>
    <x v="1"/>
    <x v="1"/>
    <s v="Citying"/>
    <s v="East"/>
    <x v="1"/>
    <n v="0"/>
    <n v="1"/>
  </r>
  <r>
    <d v="2015-06-15T10:59:00"/>
    <n v="179"/>
    <n v="2"/>
    <n v="143"/>
    <n v="22"/>
    <n v="16"/>
    <n v="1646049"/>
    <x v="177"/>
    <d v="1900-01-01T00:00:00"/>
    <n v="439"/>
    <x v="0"/>
    <n v="6"/>
    <x v="2"/>
    <x v="1"/>
    <s v="Opportunity #179"/>
    <n v="110"/>
    <n v="1"/>
    <x v="0"/>
    <x v="1"/>
    <x v="4"/>
    <x v="21"/>
    <x v="1"/>
    <x v="0"/>
    <x v="0"/>
    <s v="Dongfind"/>
    <s v="East"/>
    <x v="1"/>
    <n v="0"/>
    <n v="0.5"/>
  </r>
  <r>
    <d v="2015-05-31T10:59:00"/>
    <n v="180"/>
    <n v="2"/>
    <n v="144"/>
    <n v="22"/>
    <n v="22"/>
    <n v="930892"/>
    <x v="178"/>
    <d v="1900-01-24T00:00:00"/>
    <n v="401"/>
    <x v="0"/>
    <n v="5"/>
    <x v="0"/>
    <x v="1"/>
    <s v="Opportunity #180"/>
    <n v="66"/>
    <n v="1"/>
    <x v="0"/>
    <x v="1"/>
    <x v="0"/>
    <x v="21"/>
    <x v="1"/>
    <x v="0"/>
    <x v="0"/>
    <s v="Indigoice"/>
    <s v="East"/>
    <x v="1"/>
    <n v="0"/>
    <n v="1"/>
  </r>
  <r>
    <d v="2015-06-15T10:59:00"/>
    <n v="181"/>
    <n v="2"/>
    <n v="145"/>
    <n v="22"/>
    <n v="23"/>
    <n v="2121888"/>
    <x v="179"/>
    <d v="1900-01-10T00:00:00"/>
    <n v="489"/>
    <x v="0"/>
    <n v="6"/>
    <x v="2"/>
    <x v="0"/>
    <s v="Opportunity #181"/>
    <n v="138"/>
    <n v="1"/>
    <x v="0"/>
    <x v="0"/>
    <x v="19"/>
    <x v="21"/>
    <x v="1"/>
    <x v="0"/>
    <x v="0"/>
    <s v="Zamsanfind"/>
    <s v="East"/>
    <x v="1"/>
    <n v="0"/>
    <n v="1"/>
  </r>
  <r>
    <d v="2015-06-15T10:59:00"/>
    <n v="182"/>
    <n v="1"/>
    <n v="146"/>
    <n v="22"/>
    <n v="19"/>
    <n v="2051691"/>
    <x v="180"/>
    <d v="1900-01-07T00:00:00"/>
    <n v="492"/>
    <x v="0"/>
    <n v="6"/>
    <x v="2"/>
    <x v="1"/>
    <s v="Opportunity #182"/>
    <n v="136"/>
    <n v="1"/>
    <x v="0"/>
    <x v="1"/>
    <x v="1"/>
    <x v="21"/>
    <x v="1"/>
    <x v="1"/>
    <x v="1"/>
    <s v="Runzim"/>
    <s v="East"/>
    <x v="1"/>
    <n v="0"/>
    <n v="2"/>
  </r>
  <r>
    <d v="2015-06-15T10:59:00"/>
    <n v="183"/>
    <n v="2"/>
    <n v="147"/>
    <n v="22"/>
    <n v="23"/>
    <n v="2461379"/>
    <x v="181"/>
    <d v="1899-12-31T00:00:00"/>
    <n v="440"/>
    <x v="0"/>
    <n v="6"/>
    <x v="2"/>
    <x v="2"/>
    <s v="Opportunity #183"/>
    <n v="162"/>
    <n v="2"/>
    <x v="1"/>
    <x v="2"/>
    <x v="19"/>
    <x v="21"/>
    <x v="1"/>
    <x v="0"/>
    <x v="0"/>
    <s v="Finviacore"/>
    <s v="East"/>
    <x v="1"/>
    <n v="0"/>
    <n v="0.5"/>
  </r>
  <r>
    <d v="2015-06-15T10:59:00"/>
    <n v="184"/>
    <n v="3"/>
    <n v="148"/>
    <n v="22"/>
    <n v="18"/>
    <n v="2211507"/>
    <x v="182"/>
    <d v="1900-01-14T00:00:00"/>
    <n v="365"/>
    <x v="0"/>
    <n v="6"/>
    <x v="2"/>
    <x v="1"/>
    <s v="Opportunity #184"/>
    <n v="149"/>
    <n v="1"/>
    <x v="0"/>
    <x v="1"/>
    <x v="3"/>
    <x v="21"/>
    <x v="1"/>
    <x v="2"/>
    <x v="2"/>
    <s v="Truetanin"/>
    <s v="East"/>
    <x v="1"/>
    <n v="0"/>
    <n v="9"/>
  </r>
  <r>
    <d v="2015-04-30T10:59:00"/>
    <n v="185"/>
    <n v="2"/>
    <n v="149"/>
    <n v="53"/>
    <n v="13"/>
    <n v="523848"/>
    <x v="183"/>
    <d v="1900-01-05T00:00:00"/>
    <n v="479"/>
    <x v="0"/>
    <n v="4"/>
    <x v="8"/>
    <x v="2"/>
    <s v="Opportunity #185"/>
    <n v="43"/>
    <n v="1"/>
    <x v="0"/>
    <x v="2"/>
    <x v="21"/>
    <x v="52"/>
    <x v="0"/>
    <x v="0"/>
    <x v="0"/>
    <s v="Triosollex"/>
    <s v="East"/>
    <x v="1"/>
    <n v="2.05761316872428E-3"/>
    <n v="0.1111111111111111"/>
  </r>
  <r>
    <d v="2015-06-15T10:59:00"/>
    <n v="186"/>
    <n v="1"/>
    <n v="150"/>
    <n v="22"/>
    <n v="15"/>
    <n v="1174333"/>
    <x v="184"/>
    <d v="1900-01-03T00:00:00"/>
    <n v="496"/>
    <x v="0"/>
    <n v="6"/>
    <x v="2"/>
    <x v="1"/>
    <s v="Opportunity #186"/>
    <n v="81"/>
    <n v="1"/>
    <x v="0"/>
    <x v="1"/>
    <x v="12"/>
    <x v="21"/>
    <x v="1"/>
    <x v="1"/>
    <x v="1"/>
    <s v="sailtouch"/>
    <s v="East"/>
    <x v="1"/>
    <n v="0"/>
    <n v="2"/>
  </r>
  <r>
    <d v="2015-06-15T10:59:00"/>
    <n v="187"/>
    <n v="1"/>
    <n v="151"/>
    <n v="22"/>
    <n v="9"/>
    <n v="3347026"/>
    <x v="185"/>
    <d v="1900-01-04T00:00:00"/>
    <n v="495"/>
    <x v="0"/>
    <n v="6"/>
    <x v="2"/>
    <x v="1"/>
    <s v="Opportunity #187"/>
    <n v="207"/>
    <n v="2"/>
    <x v="1"/>
    <x v="1"/>
    <x v="7"/>
    <x v="21"/>
    <x v="1"/>
    <x v="1"/>
    <x v="1"/>
    <s v="Trancone"/>
    <s v="Central"/>
    <x v="1"/>
    <n v="0"/>
    <n v="1"/>
  </r>
  <r>
    <d v="2015-05-31T10:59:00"/>
    <n v="188"/>
    <n v="1"/>
    <n v="152"/>
    <n v="22"/>
    <n v="19"/>
    <n v="3320005"/>
    <x v="186"/>
    <d v="1900-01-21T00:00:00"/>
    <n v="463"/>
    <x v="0"/>
    <n v="5"/>
    <x v="0"/>
    <x v="1"/>
    <s v="Opportunity #188"/>
    <n v="205"/>
    <n v="2"/>
    <x v="1"/>
    <x v="1"/>
    <x v="1"/>
    <x v="21"/>
    <x v="1"/>
    <x v="1"/>
    <x v="1"/>
    <s v="Y-kaycode"/>
    <s v="East"/>
    <x v="1"/>
    <n v="0"/>
    <n v="1"/>
  </r>
  <r>
    <d v="2015-04-01T10:59:00"/>
    <n v="189"/>
    <n v="2"/>
    <n v="153"/>
    <n v="22"/>
    <n v="22"/>
    <n v="2313781"/>
    <x v="187"/>
    <d v="1899-12-31T00:00:00"/>
    <n v="424"/>
    <x v="0"/>
    <n v="4"/>
    <x v="8"/>
    <x v="0"/>
    <s v="Opportunity #189"/>
    <n v="153"/>
    <n v="1"/>
    <x v="0"/>
    <x v="0"/>
    <x v="0"/>
    <x v="21"/>
    <x v="1"/>
    <x v="0"/>
    <x v="0"/>
    <s v="Labtrans"/>
    <s v="Central"/>
    <x v="1"/>
    <n v="0"/>
    <n v="0.5"/>
  </r>
  <r>
    <d v="2015-03-31T10:59:00"/>
    <n v="190"/>
    <n v="3"/>
    <n v="154"/>
    <n v="54"/>
    <n v="16"/>
    <n v="3659407"/>
    <x v="188"/>
    <d v="1900-01-19T00:00:00"/>
    <n v="376"/>
    <x v="0"/>
    <n v="3"/>
    <x v="10"/>
    <x v="1"/>
    <s v="Opportunity #190"/>
    <n v="225"/>
    <n v="2"/>
    <x v="1"/>
    <x v="1"/>
    <x v="4"/>
    <x v="28"/>
    <x v="0"/>
    <x v="2"/>
    <x v="2"/>
    <s v="Waretrans"/>
    <s v="East"/>
    <x v="1"/>
    <n v="2.05761316872428E-3"/>
    <n v="9"/>
  </r>
  <r>
    <d v="2015-04-30T10:59:00"/>
    <n v="191"/>
    <n v="2"/>
    <n v="118"/>
    <n v="22"/>
    <n v="8"/>
    <n v="4020340"/>
    <x v="189"/>
    <d v="1900-01-13T00:00:00"/>
    <n v="440"/>
    <x v="0"/>
    <n v="4"/>
    <x v="8"/>
    <x v="1"/>
    <s v="Opportunity #191"/>
    <n v="244"/>
    <n v="2"/>
    <x v="1"/>
    <x v="1"/>
    <x v="18"/>
    <x v="21"/>
    <x v="1"/>
    <x v="0"/>
    <x v="0"/>
    <s v="Standrill"/>
    <s v="East"/>
    <x v="1"/>
    <n v="0"/>
    <n v="0.1111111111111111"/>
  </r>
  <r>
    <d v="2015-06-05T10:59:00"/>
    <n v="192"/>
    <n v="1"/>
    <n v="155"/>
    <n v="22"/>
    <n v="18"/>
    <n v="4053946"/>
    <x v="190"/>
    <d v="1900-01-03T00:00:00"/>
    <n v="397"/>
    <x v="0"/>
    <n v="6"/>
    <x v="2"/>
    <x v="1"/>
    <s v="Opportunity #192"/>
    <n v="247"/>
    <n v="2"/>
    <x v="1"/>
    <x v="1"/>
    <x v="3"/>
    <x v="21"/>
    <x v="1"/>
    <x v="1"/>
    <x v="1"/>
    <s v="Qvotech"/>
    <s v="Central"/>
    <x v="1"/>
    <n v="0"/>
    <n v="2"/>
  </r>
  <r>
    <d v="2015-03-30T10:59:00"/>
    <n v="193"/>
    <n v="1"/>
    <n v="156"/>
    <n v="22"/>
    <n v="8"/>
    <n v="94387"/>
    <x v="191"/>
    <d v="1900-01-05T00:00:00"/>
    <n v="448"/>
    <x v="0"/>
    <n v="3"/>
    <x v="10"/>
    <x v="1"/>
    <s v="Opportunity #193"/>
    <n v="11"/>
    <n v="1"/>
    <x v="0"/>
    <x v="1"/>
    <x v="18"/>
    <x v="21"/>
    <x v="1"/>
    <x v="1"/>
    <x v="1"/>
    <s v="Tonelectronics"/>
    <s v="East"/>
    <x v="2"/>
    <n v="0"/>
    <n v="1"/>
  </r>
  <r>
    <d v="2015-03-31T10:59:00"/>
    <n v="194"/>
    <n v="2"/>
    <n v="157"/>
    <n v="22"/>
    <n v="10"/>
    <n v="1082733"/>
    <x v="192"/>
    <d v="1900-01-26T00:00:00"/>
    <n v="428"/>
    <x v="0"/>
    <n v="3"/>
    <x v="10"/>
    <x v="1"/>
    <s v="Opportunity #194"/>
    <n v="75"/>
    <n v="1"/>
    <x v="0"/>
    <x v="1"/>
    <x v="10"/>
    <x v="21"/>
    <x v="1"/>
    <x v="0"/>
    <x v="0"/>
    <s v="Fasecity"/>
    <s v="East"/>
    <x v="0"/>
    <n v="0"/>
    <n v="0.5"/>
  </r>
  <r>
    <d v="2015-04-30T10:59:00"/>
    <n v="195"/>
    <n v="3"/>
    <n v="158"/>
    <n v="22"/>
    <n v="23"/>
    <n v="1374975"/>
    <x v="193"/>
    <d v="1900-01-13T00:00:00"/>
    <n v="381"/>
    <x v="0"/>
    <n v="4"/>
    <x v="8"/>
    <x v="1"/>
    <s v="Opportunity #195"/>
    <n v="91"/>
    <n v="1"/>
    <x v="0"/>
    <x v="1"/>
    <x v="19"/>
    <x v="21"/>
    <x v="1"/>
    <x v="2"/>
    <x v="2"/>
    <s v="Truehouse"/>
    <s v="Central"/>
    <x v="0"/>
    <n v="0"/>
    <n v="9"/>
  </r>
  <r>
    <d v="2015-05-29T10:59:00"/>
    <n v="196"/>
    <n v="1"/>
    <n v="93"/>
    <n v="3"/>
    <n v="6"/>
    <n v="8891729"/>
    <x v="194"/>
    <d v="1900-01-01T00:00:00"/>
    <n v="512"/>
    <x v="0"/>
    <n v="5"/>
    <x v="0"/>
    <x v="0"/>
    <s v="Opportunity #196"/>
    <n v="438"/>
    <n v="3"/>
    <x v="2"/>
    <x v="0"/>
    <x v="2"/>
    <x v="2"/>
    <x v="0"/>
    <x v="1"/>
    <x v="1"/>
    <s v="Inkix"/>
    <s v="Central"/>
    <x v="0"/>
    <n v="2.05761316872428E-3"/>
    <n v="0.22222222222222221"/>
  </r>
  <r>
    <d v="2015-01-14T10:59:00"/>
    <n v="197"/>
    <n v="4"/>
    <n v="36"/>
    <n v="22"/>
    <n v="25"/>
    <n v="1315598"/>
    <x v="195"/>
    <d v="1900-01-03T00:00:00"/>
    <n v="375"/>
    <x v="0"/>
    <n v="1"/>
    <x v="9"/>
    <x v="0"/>
    <s v="Opportunity #197"/>
    <n v="89"/>
    <n v="1"/>
    <x v="0"/>
    <x v="0"/>
    <x v="9"/>
    <x v="21"/>
    <x v="1"/>
    <x v="3"/>
    <x v="3"/>
    <s v="Quozim"/>
    <s v="Central"/>
    <x v="0"/>
    <n v="0"/>
    <n v="14"/>
  </r>
  <r>
    <d v="2015-03-31T10:59:00"/>
    <n v="198"/>
    <n v="3"/>
    <n v="121"/>
    <n v="22"/>
    <n v="19"/>
    <n v="6733360"/>
    <x v="196"/>
    <d v="1900-01-09T00:00:00"/>
    <n v="445"/>
    <x v="0"/>
    <n v="3"/>
    <x v="10"/>
    <x v="0"/>
    <s v="Opportunity #198"/>
    <n v="376"/>
    <n v="3"/>
    <x v="2"/>
    <x v="0"/>
    <x v="1"/>
    <x v="21"/>
    <x v="1"/>
    <x v="2"/>
    <x v="2"/>
    <s v="newtex"/>
    <s v="East"/>
    <x v="1"/>
    <n v="0"/>
    <n v="0.32142857142857145"/>
  </r>
  <r>
    <d v="2015-01-01T10:59:00"/>
    <n v="199"/>
    <n v="5"/>
    <n v="159"/>
    <n v="22"/>
    <n v="24"/>
    <n v="4380142"/>
    <x v="197"/>
    <d v="1899-12-31T00:00:00"/>
    <n v="365"/>
    <x v="0"/>
    <n v="1"/>
    <x v="9"/>
    <x v="1"/>
    <s v="Opportunity #199"/>
    <n v="265"/>
    <n v="2"/>
    <x v="1"/>
    <x v="1"/>
    <x v="8"/>
    <x v="21"/>
    <x v="1"/>
    <x v="4"/>
    <x v="4"/>
    <s v="Quoline"/>
    <s v="West"/>
    <x v="2"/>
    <n v="0"/>
    <n v="6"/>
  </r>
  <r>
    <d v="2015-05-31T10:59:00"/>
    <n v="200"/>
    <n v="1"/>
    <n v="100"/>
    <n v="55"/>
    <n v="5"/>
    <n v="8478832"/>
    <x v="198"/>
    <d v="1900-01-27T00:00:00"/>
    <n v="368"/>
    <x v="0"/>
    <n v="5"/>
    <x v="0"/>
    <x v="0"/>
    <s v="Opportunity #200"/>
    <n v="428"/>
    <n v="3"/>
    <x v="2"/>
    <x v="0"/>
    <x v="6"/>
    <x v="53"/>
    <x v="0"/>
    <x v="1"/>
    <x v="1"/>
    <s v="Tanflex"/>
    <s v="Central"/>
    <x v="0"/>
    <n v="2.05761316872428E-3"/>
    <n v="3.7037037037037035E-2"/>
  </r>
  <r>
    <d v="2015-10-31T10:59:00"/>
    <n v="201"/>
    <n v="2"/>
    <n v="160"/>
    <n v="22"/>
    <n v="12"/>
    <n v="5590473"/>
    <x v="199"/>
    <d v="1900-01-14T00:00:00"/>
    <n v="503"/>
    <x v="0"/>
    <n v="10"/>
    <x v="3"/>
    <x v="0"/>
    <s v="Opportunity #201"/>
    <n v="321"/>
    <n v="2"/>
    <x v="1"/>
    <x v="0"/>
    <x v="5"/>
    <x v="21"/>
    <x v="1"/>
    <x v="0"/>
    <x v="0"/>
    <s v="O-zoom"/>
    <s v="Central"/>
    <x v="1"/>
    <n v="0"/>
    <n v="0.5"/>
  </r>
  <r>
    <d v="2015-01-30T10:59:00"/>
    <n v="202"/>
    <n v="4"/>
    <n v="33"/>
    <n v="22"/>
    <n v="1"/>
    <n v="3650025"/>
    <x v="200"/>
    <d v="1900-01-02T00:00:00"/>
    <n v="392"/>
    <x v="0"/>
    <n v="1"/>
    <x v="9"/>
    <x v="1"/>
    <s v="Opportunity #202"/>
    <n v="224"/>
    <n v="2"/>
    <x v="1"/>
    <x v="1"/>
    <x v="22"/>
    <x v="21"/>
    <x v="1"/>
    <x v="3"/>
    <x v="3"/>
    <s v="Zaptechno"/>
    <s v="East"/>
    <x v="0"/>
    <n v="0"/>
    <n v="28"/>
  </r>
  <r>
    <d v="2015-03-09T10:59:00"/>
    <n v="203"/>
    <n v="3"/>
    <n v="161"/>
    <n v="22"/>
    <n v="12"/>
    <n v="3844250"/>
    <x v="201"/>
    <d v="1900-01-06T00:00:00"/>
    <n v="367"/>
    <x v="0"/>
    <n v="3"/>
    <x v="10"/>
    <x v="2"/>
    <s v="Opportunity #203"/>
    <n v="235"/>
    <n v="2"/>
    <x v="1"/>
    <x v="2"/>
    <x v="5"/>
    <x v="21"/>
    <x v="1"/>
    <x v="2"/>
    <x v="2"/>
    <s v="Qvodex"/>
    <s v="West"/>
    <x v="2"/>
    <n v="0"/>
    <n v="0.32142857142857145"/>
  </r>
  <r>
    <d v="2015-03-31T10:59:00"/>
    <n v="204"/>
    <n v="2"/>
    <n v="14"/>
    <n v="8"/>
    <n v="23"/>
    <n v="8244139"/>
    <x v="202"/>
    <d v="1900-01-05T00:00:00"/>
    <n v="449"/>
    <x v="0"/>
    <n v="3"/>
    <x v="10"/>
    <x v="1"/>
    <s v="Opportunity #204"/>
    <n v="420"/>
    <n v="3"/>
    <x v="2"/>
    <x v="1"/>
    <x v="19"/>
    <x v="7"/>
    <x v="0"/>
    <x v="0"/>
    <x v="0"/>
    <s v="Lanetrans"/>
    <s v="East"/>
    <x v="0"/>
    <n v="2.05761316872428E-3"/>
    <n v="0.1111111111111111"/>
  </r>
  <r>
    <d v="2015-04-30T10:59:00"/>
    <n v="205"/>
    <n v="3"/>
    <n v="162"/>
    <n v="38"/>
    <n v="11"/>
    <n v="3773037"/>
    <x v="203"/>
    <d v="1900-01-26T00:00:00"/>
    <n v="399"/>
    <x v="0"/>
    <n v="4"/>
    <x v="8"/>
    <x v="2"/>
    <s v="Opportunity #205"/>
    <n v="233"/>
    <n v="2"/>
    <x v="1"/>
    <x v="2"/>
    <x v="16"/>
    <x v="37"/>
    <x v="0"/>
    <x v="2"/>
    <x v="2"/>
    <s v="Gravecone"/>
    <s v="Central"/>
    <x v="1"/>
    <n v="2.05761316872428E-3"/>
    <n v="9"/>
  </r>
  <r>
    <d v="2015-12-31T10:59:00"/>
    <n v="206"/>
    <n v="1"/>
    <n v="103"/>
    <n v="22"/>
    <n v="17"/>
    <n v="61254"/>
    <x v="204"/>
    <d v="1900-01-13T00:00:00"/>
    <n v="382"/>
    <x v="0"/>
    <n v="12"/>
    <x v="6"/>
    <x v="0"/>
    <s v="Opportunity #206"/>
    <n v="5"/>
    <n v="1"/>
    <x v="0"/>
    <x v="0"/>
    <x v="20"/>
    <x v="21"/>
    <x v="1"/>
    <x v="1"/>
    <x v="1"/>
    <s v="Icetech"/>
    <s v="West"/>
    <x v="0"/>
    <n v="0"/>
    <n v="0.22222222222222221"/>
  </r>
  <r>
    <d v="2015-04-13T10:59:00"/>
    <n v="207"/>
    <n v="3"/>
    <n v="163"/>
    <n v="22"/>
    <n v="15"/>
    <n v="1836123"/>
    <x v="205"/>
    <d v="1900-01-11T00:00:00"/>
    <n v="456"/>
    <x v="0"/>
    <n v="4"/>
    <x v="8"/>
    <x v="1"/>
    <s v="Opportunity #207"/>
    <n v="123"/>
    <n v="1"/>
    <x v="0"/>
    <x v="1"/>
    <x v="12"/>
    <x v="21"/>
    <x v="1"/>
    <x v="2"/>
    <x v="2"/>
    <s v="Mediatechnology"/>
    <s v="Central"/>
    <x v="1"/>
    <n v="0"/>
    <n v="4.5"/>
  </r>
  <r>
    <d v="2015-04-30T10:59:00"/>
    <n v="208"/>
    <n v="2"/>
    <n v="164"/>
    <n v="22"/>
    <n v="19"/>
    <n v="5314380"/>
    <x v="206"/>
    <d v="1900-01-27T00:00:00"/>
    <n v="398"/>
    <x v="0"/>
    <n v="4"/>
    <x v="8"/>
    <x v="1"/>
    <s v="Opportunity #208"/>
    <n v="313"/>
    <n v="2"/>
    <x v="1"/>
    <x v="1"/>
    <x v="1"/>
    <x v="21"/>
    <x v="1"/>
    <x v="0"/>
    <x v="0"/>
    <s v="Matstreet"/>
    <s v="East"/>
    <x v="0"/>
    <n v="0"/>
    <n v="0.1111111111111111"/>
  </r>
  <r>
    <d v="2015-12-31T10:59:00"/>
    <n v="209"/>
    <n v="1"/>
    <n v="165"/>
    <n v="56"/>
    <n v="21"/>
    <n v="4749888"/>
    <x v="207"/>
    <d v="1900-01-27T00:00:00"/>
    <n v="643"/>
    <x v="0"/>
    <n v="12"/>
    <x v="6"/>
    <x v="1"/>
    <s v="Opportunity #209"/>
    <n v="279"/>
    <n v="2"/>
    <x v="1"/>
    <x v="1"/>
    <x v="14"/>
    <x v="54"/>
    <x v="0"/>
    <x v="1"/>
    <x v="1"/>
    <s v="Waresundox"/>
    <s v="West"/>
    <x v="1"/>
    <n v="2.05761316872428E-3"/>
    <n v="2"/>
  </r>
  <r>
    <d v="2015-12-31T10:59:00"/>
    <n v="210"/>
    <n v="1"/>
    <n v="166"/>
    <n v="57"/>
    <n v="25"/>
    <n v="6971322"/>
    <x v="208"/>
    <d v="1900-01-20T00:00:00"/>
    <n v="678"/>
    <x v="0"/>
    <n v="12"/>
    <x v="6"/>
    <x v="0"/>
    <s v="Opportunity #210"/>
    <n v="384"/>
    <n v="3"/>
    <x v="2"/>
    <x v="0"/>
    <x v="9"/>
    <x v="55"/>
    <x v="0"/>
    <x v="1"/>
    <x v="1"/>
    <s v="Truetrax"/>
    <s v="Central"/>
    <x v="1"/>
    <n v="2.05761316872428E-3"/>
    <n v="1"/>
  </r>
  <r>
    <d v="2015-12-31T10:59:00"/>
    <n v="211"/>
    <n v="1"/>
    <n v="167"/>
    <n v="22"/>
    <n v="25"/>
    <n v="199253"/>
    <x v="209"/>
    <d v="1900-01-07T00:00:00"/>
    <n v="510"/>
    <x v="0"/>
    <n v="12"/>
    <x v="6"/>
    <x v="1"/>
    <s v="Opportunity #211"/>
    <n v="22"/>
    <n v="1"/>
    <x v="0"/>
    <x v="1"/>
    <x v="9"/>
    <x v="21"/>
    <x v="1"/>
    <x v="1"/>
    <x v="1"/>
    <s v="solozim"/>
    <s v="West"/>
    <x v="0"/>
    <n v="0"/>
    <n v="1"/>
  </r>
  <r>
    <d v="2015-02-03T10:59:00"/>
    <n v="212"/>
    <n v="4"/>
    <n v="168"/>
    <n v="22"/>
    <n v="17"/>
    <n v="5104724"/>
    <x v="210"/>
    <d v="1900-01-02T00:00:00"/>
    <n v="396"/>
    <x v="0"/>
    <n v="2"/>
    <x v="7"/>
    <x v="1"/>
    <s v="Opportunity #212"/>
    <n v="300"/>
    <n v="2"/>
    <x v="1"/>
    <x v="1"/>
    <x v="20"/>
    <x v="21"/>
    <x v="1"/>
    <x v="3"/>
    <x v="3"/>
    <s v="overquote"/>
    <s v="West"/>
    <x v="0"/>
    <n v="0"/>
    <n v="14"/>
  </r>
  <r>
    <d v="2015-05-29T10:59:00"/>
    <n v="213"/>
    <n v="2"/>
    <n v="169"/>
    <n v="58"/>
    <n v="10"/>
    <n v="7962243"/>
    <x v="211"/>
    <d v="1900-01-16T00:00:00"/>
    <n v="438"/>
    <x v="0"/>
    <n v="5"/>
    <x v="0"/>
    <x v="0"/>
    <s v="Opportunity #213"/>
    <n v="413"/>
    <n v="3"/>
    <x v="2"/>
    <x v="0"/>
    <x v="10"/>
    <x v="56"/>
    <x v="0"/>
    <x v="0"/>
    <x v="0"/>
    <s v="Opencare"/>
    <s v="Central"/>
    <x v="1"/>
    <n v="2.05761316872428E-3"/>
    <n v="3.5714285714285712E-2"/>
  </r>
  <r>
    <d v="2015-05-28T10:59:00"/>
    <n v="214"/>
    <n v="1"/>
    <n v="170"/>
    <n v="3"/>
    <n v="10"/>
    <n v="907783"/>
    <x v="212"/>
    <d v="1900-01-03T00:00:00"/>
    <n v="419"/>
    <x v="0"/>
    <n v="5"/>
    <x v="0"/>
    <x v="1"/>
    <s v="Opportunity #214"/>
    <n v="64"/>
    <n v="1"/>
    <x v="0"/>
    <x v="1"/>
    <x v="10"/>
    <x v="2"/>
    <x v="0"/>
    <x v="1"/>
    <x v="1"/>
    <s v="Dentocity"/>
    <s v="East"/>
    <x v="2"/>
    <n v="2.05761316872428E-3"/>
    <n v="2"/>
  </r>
  <r>
    <d v="2015-10-30T10:59:00"/>
    <n v="215"/>
    <n v="1"/>
    <n v="171"/>
    <n v="59"/>
    <n v="5"/>
    <n v="2282630"/>
    <x v="213"/>
    <d v="1900-01-28T00:00:00"/>
    <n v="639"/>
    <x v="0"/>
    <n v="10"/>
    <x v="3"/>
    <x v="1"/>
    <s v="Opportunity #215"/>
    <n v="151"/>
    <n v="1"/>
    <x v="0"/>
    <x v="1"/>
    <x v="6"/>
    <x v="57"/>
    <x v="0"/>
    <x v="1"/>
    <x v="1"/>
    <s v="Movelux"/>
    <s v="East"/>
    <x v="1"/>
    <n v="2.05761316872428E-3"/>
    <n v="1"/>
  </r>
  <r>
    <d v="2015-12-31T10:59:00"/>
    <n v="216"/>
    <n v="1"/>
    <n v="172"/>
    <n v="53"/>
    <n v="3"/>
    <n v="7027182"/>
    <x v="214"/>
    <d v="1900-01-21T00:00:00"/>
    <n v="708"/>
    <x v="0"/>
    <n v="12"/>
    <x v="6"/>
    <x v="1"/>
    <s v="Opportunity #216"/>
    <n v="388"/>
    <n v="3"/>
    <x v="2"/>
    <x v="1"/>
    <x v="13"/>
    <x v="52"/>
    <x v="0"/>
    <x v="1"/>
    <x v="1"/>
    <s v="Funtax"/>
    <s v="East"/>
    <x v="1"/>
    <n v="2.05761316872428E-3"/>
    <n v="1"/>
  </r>
  <r>
    <d v="2015-08-15T10:59:00"/>
    <n v="217"/>
    <n v="1"/>
    <n v="112"/>
    <n v="3"/>
    <n v="7"/>
    <n v="9714813"/>
    <x v="215"/>
    <d v="1900-01-05T00:00:00"/>
    <n v="527"/>
    <x v="0"/>
    <n v="8"/>
    <x v="11"/>
    <x v="0"/>
    <s v="Opportunity #217"/>
    <n v="456"/>
    <n v="3"/>
    <x v="2"/>
    <x v="0"/>
    <x v="15"/>
    <x v="2"/>
    <x v="0"/>
    <x v="1"/>
    <x v="1"/>
    <s v="tintechno"/>
    <s v="East"/>
    <x v="0"/>
    <n v="2.05761316872428E-3"/>
    <n v="1"/>
  </r>
  <r>
    <d v="2015-11-30T10:59:00"/>
    <n v="218"/>
    <n v="1"/>
    <n v="61"/>
    <n v="22"/>
    <n v="24"/>
    <n v="6203732"/>
    <x v="216"/>
    <d v="1900-01-19T00:00:00"/>
    <n v="436"/>
    <x v="0"/>
    <n v="11"/>
    <x v="4"/>
    <x v="0"/>
    <s v="Opportunity #218"/>
    <n v="352"/>
    <n v="3"/>
    <x v="2"/>
    <x v="0"/>
    <x v="8"/>
    <x v="21"/>
    <x v="1"/>
    <x v="1"/>
    <x v="1"/>
    <s v="an-how"/>
    <s v="Central"/>
    <x v="2"/>
    <n v="0"/>
    <n v="1"/>
  </r>
  <r>
    <d v="2015-05-06T10:59:00"/>
    <n v="219"/>
    <n v="2"/>
    <n v="173"/>
    <n v="8"/>
    <n v="4"/>
    <n v="4760780"/>
    <x v="217"/>
    <d v="1900-01-04T00:00:00"/>
    <n v="486"/>
    <x v="0"/>
    <n v="5"/>
    <x v="0"/>
    <x v="1"/>
    <s v="Opportunity #219"/>
    <n v="280"/>
    <n v="2"/>
    <x v="1"/>
    <x v="1"/>
    <x v="24"/>
    <x v="7"/>
    <x v="0"/>
    <x v="0"/>
    <x v="0"/>
    <s v="Goldenhigh"/>
    <s v="Central"/>
    <x v="2"/>
    <n v="2.05761316872428E-3"/>
    <n v="0.5"/>
  </r>
  <r>
    <d v="2015-03-31T10:59:00"/>
    <n v="220"/>
    <n v="3"/>
    <n v="174"/>
    <n v="22"/>
    <n v="15"/>
    <n v="1450730"/>
    <x v="218"/>
    <d v="1900-01-07T00:00:00"/>
    <n v="447"/>
    <x v="0"/>
    <n v="3"/>
    <x v="10"/>
    <x v="1"/>
    <s v="Opportunity #220"/>
    <n v="98"/>
    <n v="1"/>
    <x v="0"/>
    <x v="1"/>
    <x v="12"/>
    <x v="21"/>
    <x v="1"/>
    <x v="2"/>
    <x v="2"/>
    <s v="opefix"/>
    <s v="West"/>
    <x v="2"/>
    <n v="0"/>
    <n v="9"/>
  </r>
  <r>
    <d v="2015-09-30T10:59:00"/>
    <n v="221"/>
    <n v="1"/>
    <n v="175"/>
    <n v="60"/>
    <n v="12"/>
    <n v="9768746"/>
    <x v="219"/>
    <d v="1900-01-27T00:00:00"/>
    <n v="579"/>
    <x v="0"/>
    <n v="9"/>
    <x v="5"/>
    <x v="0"/>
    <s v="Opportunity #221"/>
    <n v="459"/>
    <n v="3"/>
    <x v="2"/>
    <x v="0"/>
    <x v="5"/>
    <x v="58"/>
    <x v="0"/>
    <x v="1"/>
    <x v="1"/>
    <s v="Stansolin"/>
    <s v="West"/>
    <x v="2"/>
    <n v="2.05761316872428E-3"/>
    <n v="0.22222222222222221"/>
  </r>
  <r>
    <d v="2015-12-31T10:59:00"/>
    <n v="222"/>
    <n v="1"/>
    <n v="93"/>
    <n v="8"/>
    <n v="18"/>
    <n v="7003479"/>
    <x v="220"/>
    <d v="1899-12-31T00:00:00"/>
    <n v="517"/>
    <x v="0"/>
    <n v="12"/>
    <x v="6"/>
    <x v="0"/>
    <s v="Opportunity #222"/>
    <n v="385"/>
    <n v="3"/>
    <x v="2"/>
    <x v="0"/>
    <x v="3"/>
    <x v="7"/>
    <x v="0"/>
    <x v="1"/>
    <x v="1"/>
    <s v="Inkix"/>
    <s v="Central"/>
    <x v="0"/>
    <n v="2.05761316872428E-3"/>
    <n v="1"/>
  </r>
  <r>
    <d v="2015-05-01T10:59:00"/>
    <n v="223"/>
    <n v="1"/>
    <n v="176"/>
    <n v="8"/>
    <n v="10"/>
    <n v="8392794"/>
    <x v="221"/>
    <d v="1899-12-31T00:00:00"/>
    <n v="365"/>
    <x v="0"/>
    <n v="5"/>
    <x v="0"/>
    <x v="1"/>
    <s v="Opportunity #223"/>
    <n v="426"/>
    <n v="3"/>
    <x v="2"/>
    <x v="1"/>
    <x v="10"/>
    <x v="7"/>
    <x v="0"/>
    <x v="1"/>
    <x v="1"/>
    <s v="Sancore"/>
    <s v="Central"/>
    <x v="0"/>
    <n v="2.05761316872428E-3"/>
    <n v="1"/>
  </r>
  <r>
    <d v="2015-09-30T10:59:00"/>
    <n v="224"/>
    <n v="3"/>
    <n v="14"/>
    <n v="8"/>
    <n v="22"/>
    <n v="9303462"/>
    <x v="222"/>
    <d v="1900-01-03T00:00:00"/>
    <n v="514"/>
    <x v="0"/>
    <n v="9"/>
    <x v="5"/>
    <x v="1"/>
    <s v="Opportunity #224"/>
    <n v="451"/>
    <n v="3"/>
    <x v="2"/>
    <x v="1"/>
    <x v="0"/>
    <x v="7"/>
    <x v="0"/>
    <x v="2"/>
    <x v="2"/>
    <s v="Lanetrans"/>
    <s v="East"/>
    <x v="0"/>
    <n v="2.05761316872428E-3"/>
    <n v="4.5"/>
  </r>
  <r>
    <d v="2015-02-13T10:59:00"/>
    <n v="225"/>
    <n v="3"/>
    <n v="177"/>
    <n v="61"/>
    <n v="4"/>
    <n v="9067368"/>
    <x v="223"/>
    <d v="1900-01-11T00:00:00"/>
    <n v="366"/>
    <x v="0"/>
    <n v="2"/>
    <x v="7"/>
    <x v="2"/>
    <s v="Opportunity #225"/>
    <n v="442"/>
    <n v="3"/>
    <x v="2"/>
    <x v="2"/>
    <x v="24"/>
    <x v="59"/>
    <x v="0"/>
    <x v="2"/>
    <x v="2"/>
    <s v="Solronway"/>
    <s v="East"/>
    <x v="0"/>
    <n v="2.05761316872428E-3"/>
    <n v="1"/>
  </r>
  <r>
    <d v="2015-08-31T10:59:00"/>
    <n v="226"/>
    <n v="1"/>
    <n v="178"/>
    <n v="12"/>
    <n v="25"/>
    <n v="8223511"/>
    <x v="224"/>
    <d v="1900-01-21T00:00:00"/>
    <n v="374"/>
    <x v="0"/>
    <n v="8"/>
    <x v="11"/>
    <x v="1"/>
    <s v="Opportunity #226"/>
    <n v="419"/>
    <n v="3"/>
    <x v="2"/>
    <x v="1"/>
    <x v="9"/>
    <x v="11"/>
    <x v="0"/>
    <x v="1"/>
    <x v="1"/>
    <s v="kinex"/>
    <s v="West"/>
    <x v="2"/>
    <n v="2.05761316872428E-3"/>
    <n v="0.22222222222222221"/>
  </r>
  <r>
    <d v="2015-12-31T10:59:00"/>
    <n v="227"/>
    <n v="1"/>
    <n v="179"/>
    <n v="8"/>
    <n v="1"/>
    <n v="1605822"/>
    <x v="225"/>
    <d v="1900-01-25T00:00:00"/>
    <n v="461"/>
    <x v="0"/>
    <n v="12"/>
    <x v="6"/>
    <x v="1"/>
    <s v="Opportunity #227"/>
    <n v="108"/>
    <n v="1"/>
    <x v="0"/>
    <x v="1"/>
    <x v="22"/>
    <x v="7"/>
    <x v="0"/>
    <x v="1"/>
    <x v="1"/>
    <s v="Blueredlab"/>
    <s v="Central"/>
    <x v="2"/>
    <n v="2.05761316872428E-3"/>
    <n v="1"/>
  </r>
  <r>
    <d v="2015-06-25T10:59:00"/>
    <n v="228"/>
    <n v="1"/>
    <n v="180"/>
    <n v="22"/>
    <n v="13"/>
    <n v="188316"/>
    <x v="226"/>
    <d v="1900-01-15T00:00:00"/>
    <n v="525"/>
    <x v="0"/>
    <n v="6"/>
    <x v="2"/>
    <x v="1"/>
    <s v="Opportunity #228"/>
    <n v="21"/>
    <n v="1"/>
    <x v="0"/>
    <x v="1"/>
    <x v="21"/>
    <x v="21"/>
    <x v="1"/>
    <x v="1"/>
    <x v="1"/>
    <s v="finfase"/>
    <s v="Central"/>
    <x v="2"/>
    <n v="0"/>
    <n v="1"/>
  </r>
  <r>
    <d v="2015-07-31T08:00:00"/>
    <n v="229"/>
    <n v="1"/>
    <n v="181"/>
    <n v="62"/>
    <n v="5"/>
    <n v="4139381"/>
    <x v="227"/>
    <d v="1900-01-20T00:00:00"/>
    <n v="525"/>
    <x v="0"/>
    <n v="7"/>
    <x v="1"/>
    <x v="1"/>
    <s v="Opportunity #229"/>
    <n v="251"/>
    <n v="2"/>
    <x v="1"/>
    <x v="1"/>
    <x v="6"/>
    <x v="60"/>
    <x v="0"/>
    <x v="1"/>
    <x v="1"/>
    <s v="Jayin"/>
    <s v="East"/>
    <x v="2"/>
    <n v="2.05761316872428E-3"/>
    <n v="1"/>
  </r>
  <r>
    <d v="2015-08-28T10:59:00"/>
    <n v="230"/>
    <n v="2"/>
    <n v="182"/>
    <n v="22"/>
    <n v="11"/>
    <n v="747030"/>
    <x v="228"/>
    <d v="1900-01-03T00:00:00"/>
    <n v="542"/>
    <x v="0"/>
    <n v="8"/>
    <x v="11"/>
    <x v="1"/>
    <s v="Opportunity #230"/>
    <n v="58"/>
    <n v="1"/>
    <x v="0"/>
    <x v="1"/>
    <x v="16"/>
    <x v="21"/>
    <x v="1"/>
    <x v="0"/>
    <x v="0"/>
    <s v="Rankfix"/>
    <s v="Central"/>
    <x v="1"/>
    <n v="0"/>
    <n v="0.5"/>
  </r>
  <r>
    <d v="2015-07-31T08:00:00"/>
    <n v="231"/>
    <n v="1"/>
    <n v="183"/>
    <n v="4"/>
    <n v="24"/>
    <n v="9222310"/>
    <x v="229"/>
    <d v="1900-01-17T00:00:00"/>
    <n v="469"/>
    <x v="0"/>
    <n v="7"/>
    <x v="1"/>
    <x v="0"/>
    <s v="Opportunity #231"/>
    <n v="447"/>
    <n v="3"/>
    <x v="2"/>
    <x v="0"/>
    <x v="8"/>
    <x v="3"/>
    <x v="0"/>
    <x v="1"/>
    <x v="1"/>
    <s v="Yearing"/>
    <s v="East"/>
    <x v="2"/>
    <n v="2.05761316872428E-3"/>
    <n v="2"/>
  </r>
  <r>
    <d v="2015-06-30T10:59:00"/>
    <n v="232"/>
    <n v="1"/>
    <n v="184"/>
    <n v="63"/>
    <n v="6"/>
    <n v="5948279"/>
    <x v="230"/>
    <d v="1900-01-28T00:00:00"/>
    <n v="427"/>
    <x v="0"/>
    <n v="6"/>
    <x v="2"/>
    <x v="0"/>
    <s v="Opportunity #232"/>
    <n v="339"/>
    <n v="3"/>
    <x v="2"/>
    <x v="0"/>
    <x v="2"/>
    <x v="61"/>
    <x v="0"/>
    <x v="1"/>
    <x v="1"/>
    <s v="sumcare"/>
    <s v="Central"/>
    <x v="1"/>
    <n v="2.05761316872428E-3"/>
    <n v="1"/>
  </r>
  <r>
    <d v="2015-01-24T10:59:00"/>
    <n v="233"/>
    <n v="4"/>
    <n v="185"/>
    <n v="64"/>
    <n v="7"/>
    <n v="11028079"/>
    <x v="231"/>
    <d v="1900-01-19T00:00:00"/>
    <n v="369"/>
    <x v="0"/>
    <n v="1"/>
    <x v="9"/>
    <x v="0"/>
    <s v="Opportunity #233"/>
    <n v="476"/>
    <n v="3"/>
    <x v="2"/>
    <x v="0"/>
    <x v="15"/>
    <x v="62"/>
    <x v="0"/>
    <x v="3"/>
    <x v="3"/>
    <s v="Greentone"/>
    <s v="Central"/>
    <x v="1"/>
    <n v="2.05761316872428E-3"/>
    <n v="14"/>
  </r>
  <r>
    <d v="2015-07-31T08:00:00"/>
    <n v="234"/>
    <n v="2"/>
    <n v="186"/>
    <n v="65"/>
    <n v="22"/>
    <n v="9927599"/>
    <x v="232"/>
    <d v="1900-01-07T00:00:00"/>
    <n v="449"/>
    <x v="0"/>
    <n v="7"/>
    <x v="1"/>
    <x v="1"/>
    <s v="Opportunity #234"/>
    <n v="461"/>
    <n v="3"/>
    <x v="2"/>
    <x v="1"/>
    <x v="0"/>
    <x v="63"/>
    <x v="0"/>
    <x v="0"/>
    <x v="0"/>
    <s v="Anhouse"/>
    <s v="East"/>
    <x v="1"/>
    <n v="2.05761316872428E-3"/>
    <n v="3.5714285714285712E-2"/>
  </r>
  <r>
    <d v="2015-09-30T10:59:00"/>
    <n v="235"/>
    <n v="1"/>
    <n v="187"/>
    <n v="8"/>
    <n v="9"/>
    <n v="6794643"/>
    <x v="233"/>
    <d v="1900-01-05T00:00:00"/>
    <n v="512"/>
    <x v="0"/>
    <n v="9"/>
    <x v="5"/>
    <x v="2"/>
    <s v="Opportunity #235"/>
    <n v="379"/>
    <n v="3"/>
    <x v="2"/>
    <x v="2"/>
    <x v="7"/>
    <x v="7"/>
    <x v="0"/>
    <x v="1"/>
    <x v="1"/>
    <s v="Technocan"/>
    <s v="East"/>
    <x v="2"/>
    <n v="2.05761316872428E-3"/>
    <n v="2"/>
  </r>
  <r>
    <d v="2015-01-30T10:59:00"/>
    <n v="236"/>
    <n v="4"/>
    <n v="33"/>
    <n v="8"/>
    <n v="1"/>
    <n v="9722121"/>
    <x v="234"/>
    <d v="1900-01-18T00:00:00"/>
    <n v="376"/>
    <x v="0"/>
    <n v="1"/>
    <x v="9"/>
    <x v="0"/>
    <s v="Opportunity #236"/>
    <n v="457"/>
    <n v="3"/>
    <x v="2"/>
    <x v="0"/>
    <x v="22"/>
    <x v="7"/>
    <x v="0"/>
    <x v="3"/>
    <x v="3"/>
    <s v="Zaptechno"/>
    <s v="East"/>
    <x v="0"/>
    <n v="2.05761316872428E-3"/>
    <n v="14"/>
  </r>
  <r>
    <d v="2015-12-31T10:59:00"/>
    <n v="237"/>
    <n v="1"/>
    <n v="188"/>
    <n v="8"/>
    <n v="21"/>
    <n v="7759466"/>
    <x v="235"/>
    <d v="1900-01-17T00:00:00"/>
    <n v="439"/>
    <x v="0"/>
    <n v="12"/>
    <x v="6"/>
    <x v="1"/>
    <s v="Opportunity #237"/>
    <n v="410"/>
    <n v="3"/>
    <x v="2"/>
    <x v="1"/>
    <x v="14"/>
    <x v="7"/>
    <x v="0"/>
    <x v="1"/>
    <x v="1"/>
    <s v="Geoity"/>
    <s v="East"/>
    <x v="0"/>
    <n v="2.05761316872428E-3"/>
    <n v="7.1428571428571425E-2"/>
  </r>
  <r>
    <d v="2015-12-31T10:59:00"/>
    <n v="238"/>
    <n v="1"/>
    <n v="189"/>
    <n v="8"/>
    <n v="14"/>
    <n v="7197080"/>
    <x v="236"/>
    <d v="1900-01-13T00:00:00"/>
    <n v="657"/>
    <x v="0"/>
    <n v="12"/>
    <x v="6"/>
    <x v="1"/>
    <s v="Opportunity #238"/>
    <n v="392"/>
    <n v="3"/>
    <x v="2"/>
    <x v="1"/>
    <x v="23"/>
    <x v="7"/>
    <x v="0"/>
    <x v="1"/>
    <x v="1"/>
    <s v="Zoncanline"/>
    <s v="Central"/>
    <x v="0"/>
    <n v="2.05761316872428E-3"/>
    <n v="1"/>
  </r>
  <r>
    <d v="2015-01-01T10:59:00"/>
    <n v="239"/>
    <n v="5"/>
    <n v="190"/>
    <n v="8"/>
    <n v="6"/>
    <n v="3765339"/>
    <x v="237"/>
    <d v="1899-12-31T00:00:00"/>
    <n v="365"/>
    <x v="0"/>
    <n v="1"/>
    <x v="9"/>
    <x v="0"/>
    <s v="Opportunity #239"/>
    <n v="232"/>
    <n v="2"/>
    <x v="1"/>
    <x v="0"/>
    <x v="2"/>
    <x v="7"/>
    <x v="0"/>
    <x v="4"/>
    <x v="4"/>
    <s v="Dontamla"/>
    <s v="Central"/>
    <x v="2"/>
    <n v="2.05761316872428E-3"/>
    <n v="27"/>
  </r>
  <r>
    <d v="2015-08-01T10:59:00"/>
    <n v="240"/>
    <n v="2"/>
    <n v="191"/>
    <n v="22"/>
    <n v="6"/>
    <n v="1301968"/>
    <x v="238"/>
    <d v="1899-12-31T00:00:00"/>
    <n v="457"/>
    <x v="0"/>
    <n v="8"/>
    <x v="11"/>
    <x v="2"/>
    <s v="Opportunity #240"/>
    <n v="87"/>
    <n v="1"/>
    <x v="0"/>
    <x v="2"/>
    <x v="2"/>
    <x v="21"/>
    <x v="1"/>
    <x v="0"/>
    <x v="0"/>
    <s v="Jayhigh"/>
    <s v="Central"/>
    <x v="2"/>
    <n v="0"/>
    <n v="1.8518518518518517E-2"/>
  </r>
  <r>
    <d v="2015-08-01T10:59:00"/>
    <n v="241"/>
    <n v="2"/>
    <n v="192"/>
    <n v="22"/>
    <n v="23"/>
    <n v="3740355"/>
    <x v="239"/>
    <d v="1899-12-31T00:00:00"/>
    <n v="396"/>
    <x v="0"/>
    <n v="8"/>
    <x v="11"/>
    <x v="0"/>
    <s v="Opportunity #241"/>
    <n v="231"/>
    <n v="2"/>
    <x v="1"/>
    <x v="0"/>
    <x v="19"/>
    <x v="21"/>
    <x v="1"/>
    <x v="0"/>
    <x v="0"/>
    <s v="Biocane"/>
    <s v="Central"/>
    <x v="2"/>
    <n v="0"/>
    <n v="1"/>
  </r>
  <r>
    <d v="2015-06-26T10:59:00"/>
    <n v="242"/>
    <n v="1"/>
    <n v="193"/>
    <n v="22"/>
    <n v="5"/>
    <n v="2154078"/>
    <x v="240"/>
    <d v="1900-01-04T00:00:00"/>
    <n v="386"/>
    <x v="0"/>
    <n v="6"/>
    <x v="2"/>
    <x v="0"/>
    <s v="Opportunity #242"/>
    <n v="142"/>
    <n v="1"/>
    <x v="0"/>
    <x v="0"/>
    <x v="6"/>
    <x v="21"/>
    <x v="1"/>
    <x v="1"/>
    <x v="1"/>
    <s v="Gold-fase"/>
    <s v="West"/>
    <x v="0"/>
    <n v="0"/>
    <n v="2"/>
  </r>
  <r>
    <d v="2015-11-30T10:59:00"/>
    <n v="243"/>
    <n v="1"/>
    <n v="194"/>
    <n v="66"/>
    <n v="19"/>
    <n v="5915290"/>
    <x v="241"/>
    <d v="1900-01-26T00:00:00"/>
    <n v="368"/>
    <x v="0"/>
    <n v="11"/>
    <x v="4"/>
    <x v="0"/>
    <s v="Opportunity #243"/>
    <n v="336"/>
    <n v="3"/>
    <x v="2"/>
    <x v="0"/>
    <x v="1"/>
    <x v="64"/>
    <x v="0"/>
    <x v="1"/>
    <x v="1"/>
    <s v="Ventocone"/>
    <s v="East"/>
    <x v="2"/>
    <n v="2.05761316872428E-3"/>
    <n v="1"/>
  </r>
  <r>
    <d v="2015-12-31T10:59:00"/>
    <n v="244"/>
    <n v="1"/>
    <n v="195"/>
    <n v="18"/>
    <n v="24"/>
    <n v="5672329"/>
    <x v="242"/>
    <d v="1900-01-12T00:00:00"/>
    <n v="413"/>
    <x v="0"/>
    <n v="12"/>
    <x v="6"/>
    <x v="0"/>
    <s v="Opportunity #244"/>
    <n v="326"/>
    <n v="3"/>
    <x v="2"/>
    <x v="0"/>
    <x v="8"/>
    <x v="17"/>
    <x v="0"/>
    <x v="1"/>
    <x v="1"/>
    <s v="Newhouse"/>
    <s v="Central"/>
    <x v="1"/>
    <n v="2.05761316872428E-3"/>
    <n v="1"/>
  </r>
  <r>
    <d v="2015-04-30T10:59:00"/>
    <n v="245"/>
    <n v="2"/>
    <n v="196"/>
    <n v="67"/>
    <n v="13"/>
    <n v="5769975"/>
    <x v="243"/>
    <d v="1900-01-03T00:00:00"/>
    <n v="481"/>
    <x v="0"/>
    <n v="4"/>
    <x v="8"/>
    <x v="1"/>
    <s v="Opportunity #245"/>
    <n v="332"/>
    <n v="3"/>
    <x v="2"/>
    <x v="1"/>
    <x v="21"/>
    <x v="65"/>
    <x v="0"/>
    <x v="0"/>
    <x v="0"/>
    <s v="Physlane"/>
    <s v="Central"/>
    <x v="1"/>
    <n v="2.05761316872428E-3"/>
    <n v="0.5"/>
  </r>
  <r>
    <d v="2015-09-30T10:59:00"/>
    <n v="246"/>
    <n v="1"/>
    <n v="197"/>
    <n v="8"/>
    <n v="22"/>
    <n v="328421"/>
    <x v="244"/>
    <d v="1900-01-03T00:00:00"/>
    <n v="634"/>
    <x v="0"/>
    <n v="9"/>
    <x v="5"/>
    <x v="0"/>
    <s v="Opportunity #246"/>
    <n v="31"/>
    <n v="1"/>
    <x v="0"/>
    <x v="0"/>
    <x v="0"/>
    <x v="7"/>
    <x v="0"/>
    <x v="1"/>
    <x v="1"/>
    <s v="Hotunidax"/>
    <s v="East"/>
    <x v="1"/>
    <n v="2.05761316872428E-3"/>
    <n v="2"/>
  </r>
  <r>
    <d v="2015-08-01T10:59:00"/>
    <n v="247"/>
    <n v="1"/>
    <n v="198"/>
    <n v="8"/>
    <n v="25"/>
    <n v="10178400"/>
    <x v="245"/>
    <d v="1899-12-31T00:00:00"/>
    <n v="365"/>
    <x v="0"/>
    <n v="8"/>
    <x v="11"/>
    <x v="0"/>
    <s v="Opportunity #247"/>
    <n v="468"/>
    <n v="3"/>
    <x v="2"/>
    <x v="0"/>
    <x v="9"/>
    <x v="7"/>
    <x v="0"/>
    <x v="1"/>
    <x v="1"/>
    <s v="Canfan"/>
    <s v="Central"/>
    <x v="0"/>
    <n v="2.05761316872428E-3"/>
    <n v="1"/>
  </r>
  <r>
    <d v="2015-03-15T10:59:00"/>
    <n v="248"/>
    <n v="4"/>
    <n v="54"/>
    <n v="22"/>
    <n v="13"/>
    <n v="1481088"/>
    <x v="246"/>
    <d v="1900-01-08T00:00:00"/>
    <n v="399"/>
    <x v="0"/>
    <n v="3"/>
    <x v="10"/>
    <x v="2"/>
    <s v="Opportunity #248"/>
    <n v="102"/>
    <n v="1"/>
    <x v="0"/>
    <x v="2"/>
    <x v="21"/>
    <x v="21"/>
    <x v="1"/>
    <x v="3"/>
    <x v="3"/>
    <s v="techiplex"/>
    <s v="Central"/>
    <x v="2"/>
    <n v="0"/>
    <n v="14"/>
  </r>
  <r>
    <d v="2015-06-01T10:59:00"/>
    <n v="249"/>
    <n v="1"/>
    <n v="199"/>
    <n v="8"/>
    <n v="5"/>
    <n v="10937493"/>
    <x v="247"/>
    <d v="1899-12-31T00:00:00"/>
    <n v="516"/>
    <x v="0"/>
    <n v="6"/>
    <x v="2"/>
    <x v="1"/>
    <s v="Opportunity #249"/>
    <n v="474"/>
    <n v="3"/>
    <x v="2"/>
    <x v="1"/>
    <x v="6"/>
    <x v="7"/>
    <x v="0"/>
    <x v="1"/>
    <x v="1"/>
    <s v="unacorporation"/>
    <s v="Central"/>
    <x v="2"/>
    <n v="2.05761316872428E-3"/>
    <n v="7.1428571428571425E-2"/>
  </r>
  <r>
    <d v="2015-06-01T10:59:00"/>
    <n v="250"/>
    <n v="2"/>
    <n v="200"/>
    <n v="68"/>
    <n v="5"/>
    <n v="1758851"/>
    <x v="248"/>
    <d v="1899-12-31T00:00:00"/>
    <n v="396"/>
    <x v="0"/>
    <n v="6"/>
    <x v="2"/>
    <x v="2"/>
    <s v="Opportunity #250"/>
    <n v="120"/>
    <n v="1"/>
    <x v="0"/>
    <x v="2"/>
    <x v="6"/>
    <x v="66"/>
    <x v="0"/>
    <x v="0"/>
    <x v="0"/>
    <s v="Strongzim"/>
    <s v="Central"/>
    <x v="0"/>
    <n v="2.05761316872428E-3"/>
    <n v="0.5"/>
  </r>
  <r>
    <d v="2015-05-29T10:59:00"/>
    <n v="251"/>
    <n v="1"/>
    <n v="201"/>
    <n v="3"/>
    <n v="21"/>
    <n v="10083008"/>
    <x v="249"/>
    <d v="1900-01-05T00:00:00"/>
    <n v="477"/>
    <x v="0"/>
    <n v="5"/>
    <x v="0"/>
    <x v="0"/>
    <s v="Opportunity #251"/>
    <n v="465"/>
    <n v="3"/>
    <x v="2"/>
    <x v="0"/>
    <x v="14"/>
    <x v="2"/>
    <x v="0"/>
    <x v="1"/>
    <x v="1"/>
    <s v="Bluecorporation"/>
    <s v="Central"/>
    <x v="2"/>
    <n v="2.05761316872428E-3"/>
    <n v="2"/>
  </r>
  <r>
    <d v="2015-07-31T07:00:00"/>
    <n v="252"/>
    <n v="2"/>
    <n v="202"/>
    <n v="8"/>
    <n v="25"/>
    <n v="3334564"/>
    <x v="250"/>
    <d v="1900-01-05T00:00:00"/>
    <n v="512"/>
    <x v="0"/>
    <n v="7"/>
    <x v="1"/>
    <x v="1"/>
    <s v="Opportunity #252"/>
    <n v="206"/>
    <n v="2"/>
    <x v="1"/>
    <x v="1"/>
    <x v="9"/>
    <x v="7"/>
    <x v="0"/>
    <x v="0"/>
    <x v="0"/>
    <s v="Techiway"/>
    <s v="East"/>
    <x v="1"/>
    <n v="2.05761316872428E-3"/>
    <n v="0.5"/>
  </r>
  <r>
    <d v="2015-08-01T10:59:00"/>
    <n v="253"/>
    <n v="1"/>
    <n v="203"/>
    <n v="22"/>
    <n v="16"/>
    <n v="1315100"/>
    <x v="251"/>
    <d v="1899-12-31T00:00:00"/>
    <n v="577"/>
    <x v="0"/>
    <n v="8"/>
    <x v="11"/>
    <x v="1"/>
    <s v="Opportunity #253"/>
    <n v="88"/>
    <n v="1"/>
    <x v="0"/>
    <x v="1"/>
    <x v="4"/>
    <x v="21"/>
    <x v="1"/>
    <x v="1"/>
    <x v="1"/>
    <s v="Quotelux"/>
    <s v="East"/>
    <x v="2"/>
    <n v="0"/>
    <n v="2"/>
  </r>
  <r>
    <d v="2015-12-31T10:59:00"/>
    <n v="254"/>
    <n v="1"/>
    <n v="119"/>
    <n v="54"/>
    <n v="7"/>
    <n v="7363574"/>
    <x v="252"/>
    <d v="1900-01-25T00:00:00"/>
    <n v="431"/>
    <x v="0"/>
    <n v="12"/>
    <x v="6"/>
    <x v="1"/>
    <s v="Opportunity #254"/>
    <n v="399"/>
    <n v="3"/>
    <x v="2"/>
    <x v="1"/>
    <x v="15"/>
    <x v="28"/>
    <x v="0"/>
    <x v="1"/>
    <x v="1"/>
    <s v="Inlane"/>
    <s v="West"/>
    <x v="1"/>
    <n v="2.05761316872428E-3"/>
    <n v="1"/>
  </r>
  <r>
    <d v="2015-01-15T10:59:00"/>
    <n v="255"/>
    <n v="4"/>
    <n v="204"/>
    <n v="42"/>
    <n v="15"/>
    <n v="2072628"/>
    <x v="253"/>
    <d v="1900-01-08T00:00:00"/>
    <n v="371"/>
    <x v="0"/>
    <n v="1"/>
    <x v="9"/>
    <x v="0"/>
    <s v="Opportunity #255"/>
    <n v="137"/>
    <n v="1"/>
    <x v="0"/>
    <x v="0"/>
    <x v="12"/>
    <x v="41"/>
    <x v="0"/>
    <x v="3"/>
    <x v="3"/>
    <s v="acelex"/>
    <s v="Central"/>
    <x v="0"/>
    <n v="2.05761316872428E-3"/>
    <n v="14"/>
  </r>
  <r>
    <d v="2015-08-31T10:59:00"/>
    <n v="256"/>
    <n v="1"/>
    <n v="205"/>
    <n v="33"/>
    <n v="7"/>
    <n v="2435557"/>
    <x v="254"/>
    <d v="1900-01-12T00:00:00"/>
    <n v="383"/>
    <x v="0"/>
    <n v="8"/>
    <x v="11"/>
    <x v="1"/>
    <s v="Opportunity #256"/>
    <n v="161"/>
    <n v="1"/>
    <x v="0"/>
    <x v="1"/>
    <x v="15"/>
    <x v="32"/>
    <x v="0"/>
    <x v="1"/>
    <x v="1"/>
    <s v="Unofind"/>
    <s v="East"/>
    <x v="0"/>
    <n v="2.05761316872428E-3"/>
    <n v="7.1428571428571425E-2"/>
  </r>
  <r>
    <d v="2015-09-30T10:59:00"/>
    <n v="257"/>
    <n v="1"/>
    <n v="206"/>
    <n v="8"/>
    <n v="10"/>
    <n v="319833"/>
    <x v="255"/>
    <d v="1900-01-17T00:00:00"/>
    <n v="589"/>
    <x v="0"/>
    <n v="9"/>
    <x v="5"/>
    <x v="0"/>
    <s v="Opportunity #257"/>
    <n v="30"/>
    <n v="1"/>
    <x v="0"/>
    <x v="0"/>
    <x v="10"/>
    <x v="7"/>
    <x v="0"/>
    <x v="1"/>
    <x v="1"/>
    <s v="Conzumtex"/>
    <s v="East"/>
    <x v="1"/>
    <n v="2.05761316872428E-3"/>
    <n v="1"/>
  </r>
  <r>
    <d v="2015-09-30T10:59:00"/>
    <n v="258"/>
    <n v="1"/>
    <n v="105"/>
    <n v="8"/>
    <n v="25"/>
    <n v="1456290"/>
    <x v="256"/>
    <d v="1900-01-18T00:00:00"/>
    <n v="588"/>
    <x v="0"/>
    <n v="9"/>
    <x v="5"/>
    <x v="1"/>
    <s v="Opportunity #258"/>
    <n v="99"/>
    <n v="1"/>
    <x v="0"/>
    <x v="1"/>
    <x v="9"/>
    <x v="7"/>
    <x v="0"/>
    <x v="1"/>
    <x v="1"/>
    <s v="Sumcity"/>
    <s v="East"/>
    <x v="2"/>
    <n v="2.05761316872428E-3"/>
    <n v="1"/>
  </r>
  <r>
    <d v="2015-01-29T10:59:00"/>
    <n v="259"/>
    <n v="5"/>
    <n v="207"/>
    <n v="3"/>
    <n v="24"/>
    <n v="7741226"/>
    <x v="257"/>
    <d v="1900-01-06T00:00:00"/>
    <n v="387"/>
    <x v="0"/>
    <n v="1"/>
    <x v="9"/>
    <x v="0"/>
    <s v="Opportunity #259"/>
    <n v="407"/>
    <n v="3"/>
    <x v="2"/>
    <x v="0"/>
    <x v="8"/>
    <x v="2"/>
    <x v="0"/>
    <x v="4"/>
    <x v="4"/>
    <s v="sail-con"/>
    <s v="East"/>
    <x v="2"/>
    <n v="2.05761316872428E-3"/>
    <n v="27"/>
  </r>
  <r>
    <d v="2015-06-30T10:59:00"/>
    <n v="260"/>
    <n v="1"/>
    <n v="208"/>
    <n v="8"/>
    <n v="10"/>
    <n v="9757301"/>
    <x v="258"/>
    <d v="1900-01-01T00:00:00"/>
    <n v="485"/>
    <x v="0"/>
    <n v="6"/>
    <x v="2"/>
    <x v="1"/>
    <s v="Opportunity #260"/>
    <n v="458"/>
    <n v="3"/>
    <x v="2"/>
    <x v="1"/>
    <x v="10"/>
    <x v="7"/>
    <x v="0"/>
    <x v="1"/>
    <x v="1"/>
    <s v="goodzoom"/>
    <s v="Central"/>
    <x v="0"/>
    <n v="2.05761316872428E-3"/>
    <n v="3.7037037037037035E-2"/>
  </r>
  <r>
    <d v="2015-07-31T07:00:00"/>
    <n v="261"/>
    <n v="1"/>
    <n v="209"/>
    <n v="69"/>
    <n v="5"/>
    <n v="702817"/>
    <x v="259"/>
    <d v="1900-01-07T00:00:00"/>
    <n v="479"/>
    <x v="0"/>
    <n v="7"/>
    <x v="1"/>
    <x v="1"/>
    <s v="Opportunity #261"/>
    <n v="55"/>
    <n v="1"/>
    <x v="0"/>
    <x v="1"/>
    <x v="6"/>
    <x v="67"/>
    <x v="0"/>
    <x v="1"/>
    <x v="1"/>
    <s v="Trustline"/>
    <s v="East"/>
    <x v="2"/>
    <n v="2.05761316872428E-3"/>
    <n v="1"/>
  </r>
  <r>
    <d v="2015-07-31T07:00:00"/>
    <n v="262"/>
    <n v="2"/>
    <n v="209"/>
    <n v="69"/>
    <n v="19"/>
    <n v="8640981"/>
    <x v="260"/>
    <d v="1899-12-31T00:00:00"/>
    <n v="517"/>
    <x v="0"/>
    <n v="7"/>
    <x v="1"/>
    <x v="0"/>
    <s v="Opportunity #262"/>
    <n v="429"/>
    <n v="3"/>
    <x v="2"/>
    <x v="0"/>
    <x v="1"/>
    <x v="67"/>
    <x v="0"/>
    <x v="0"/>
    <x v="0"/>
    <s v="Trustline"/>
    <s v="East"/>
    <x v="2"/>
    <n v="2.05761316872428E-3"/>
    <n v="0.5"/>
  </r>
  <r>
    <d v="2015-05-29T10:59:00"/>
    <n v="263"/>
    <n v="3"/>
    <n v="210"/>
    <n v="53"/>
    <n v="12"/>
    <n v="120596"/>
    <x v="261"/>
    <d v="1900-01-20T00:00:00"/>
    <n v="434"/>
    <x v="0"/>
    <n v="5"/>
    <x v="0"/>
    <x v="2"/>
    <s v="Opportunity #263"/>
    <n v="13"/>
    <n v="1"/>
    <x v="0"/>
    <x v="2"/>
    <x v="5"/>
    <x v="52"/>
    <x v="0"/>
    <x v="2"/>
    <x v="2"/>
    <s v="Hatzoodom"/>
    <s v="Central"/>
    <x v="0"/>
    <n v="2.05761316872428E-3"/>
    <n v="9"/>
  </r>
  <r>
    <d v="2015-03-13T10:59:00"/>
    <n v="264"/>
    <n v="3"/>
    <n v="210"/>
    <n v="8"/>
    <n v="1"/>
    <n v="4704468"/>
    <x v="262"/>
    <d v="1900-01-11T00:00:00"/>
    <n v="425"/>
    <x v="0"/>
    <n v="3"/>
    <x v="10"/>
    <x v="0"/>
    <s v="Opportunity #264"/>
    <n v="277"/>
    <n v="2"/>
    <x v="1"/>
    <x v="0"/>
    <x v="22"/>
    <x v="7"/>
    <x v="0"/>
    <x v="2"/>
    <x v="2"/>
    <s v="Hatzoodom"/>
    <s v="Central"/>
    <x v="0"/>
    <n v="2.05761316872428E-3"/>
    <n v="1"/>
  </r>
  <r>
    <d v="2015-06-04T10:59:00"/>
    <n v="265"/>
    <n v="2"/>
    <n v="112"/>
    <n v="3"/>
    <n v="2"/>
    <n v="573880"/>
    <x v="263"/>
    <d v="1900-01-03T00:00:00"/>
    <n v="426"/>
    <x v="0"/>
    <n v="6"/>
    <x v="2"/>
    <x v="1"/>
    <s v="Opportunity #265"/>
    <n v="47"/>
    <n v="1"/>
    <x v="0"/>
    <x v="1"/>
    <x v="17"/>
    <x v="2"/>
    <x v="0"/>
    <x v="0"/>
    <x v="0"/>
    <s v="tintechno"/>
    <s v="East"/>
    <x v="0"/>
    <n v="2.05761316872428E-3"/>
    <n v="0.1111111111111111"/>
  </r>
  <r>
    <d v="2015-06-30T10:59:00"/>
    <n v="266"/>
    <n v="2"/>
    <n v="211"/>
    <n v="22"/>
    <n v="17"/>
    <n v="3005639"/>
    <x v="264"/>
    <d v="1900-01-11T00:00:00"/>
    <n v="414"/>
    <x v="0"/>
    <n v="6"/>
    <x v="2"/>
    <x v="0"/>
    <s v="Opportunity #266"/>
    <n v="186"/>
    <n v="2"/>
    <x v="1"/>
    <x v="0"/>
    <x v="20"/>
    <x v="21"/>
    <x v="1"/>
    <x v="0"/>
    <x v="0"/>
    <s v="dripdox"/>
    <s v="West"/>
    <x v="2"/>
    <n v="0"/>
    <n v="1"/>
  </r>
  <r>
    <d v="2015-07-31T07:00:00"/>
    <n v="267"/>
    <n v="1"/>
    <n v="212"/>
    <n v="8"/>
    <n v="8"/>
    <n v="7195385"/>
    <x v="265"/>
    <d v="1900-01-16T00:00:00"/>
    <n v="440"/>
    <x v="0"/>
    <n v="7"/>
    <x v="1"/>
    <x v="0"/>
    <s v="Opportunity #267"/>
    <n v="391"/>
    <n v="3"/>
    <x v="2"/>
    <x v="0"/>
    <x v="18"/>
    <x v="7"/>
    <x v="0"/>
    <x v="1"/>
    <x v="1"/>
    <s v="Fasehotzap"/>
    <s v="East"/>
    <x v="0"/>
    <n v="2.05761316872428E-3"/>
    <n v="2"/>
  </r>
  <r>
    <d v="2015-08-15T10:59:00"/>
    <n v="268"/>
    <n v="2"/>
    <n v="22"/>
    <n v="8"/>
    <n v="6"/>
    <n v="6004287"/>
    <x v="266"/>
    <d v="1900-01-10T00:00:00"/>
    <n v="550"/>
    <x v="0"/>
    <n v="8"/>
    <x v="11"/>
    <x v="1"/>
    <s v="Opportunity #268"/>
    <n v="343"/>
    <n v="3"/>
    <x v="2"/>
    <x v="1"/>
    <x v="2"/>
    <x v="7"/>
    <x v="0"/>
    <x v="0"/>
    <x v="0"/>
    <s v="Lamdexon"/>
    <s v="East"/>
    <x v="0"/>
    <n v="2.05761316872428E-3"/>
    <n v="0.5"/>
  </r>
  <r>
    <d v="2015-08-01T10:59:00"/>
    <n v="269"/>
    <n v="1"/>
    <n v="213"/>
    <n v="8"/>
    <n v="19"/>
    <n v="4980666"/>
    <x v="267"/>
    <d v="1899-12-31T00:00:00"/>
    <n v="426"/>
    <x v="0"/>
    <n v="8"/>
    <x v="11"/>
    <x v="2"/>
    <s v="Opportunity #269"/>
    <n v="293"/>
    <n v="2"/>
    <x v="1"/>
    <x v="2"/>
    <x v="1"/>
    <x v="7"/>
    <x v="0"/>
    <x v="1"/>
    <x v="1"/>
    <s v="Double-holdings"/>
    <s v="West"/>
    <x v="0"/>
    <n v="2.05761316872428E-3"/>
    <n v="2"/>
  </r>
  <r>
    <d v="2015-09-30T10:59:00"/>
    <n v="270"/>
    <n v="1"/>
    <n v="214"/>
    <n v="70"/>
    <n v="10"/>
    <n v="6238359"/>
    <x v="268"/>
    <d v="1900-01-05T00:00:00"/>
    <n v="542"/>
    <x v="0"/>
    <n v="9"/>
    <x v="5"/>
    <x v="1"/>
    <s v="Opportunity #270"/>
    <n v="355"/>
    <n v="3"/>
    <x v="2"/>
    <x v="1"/>
    <x v="10"/>
    <x v="68"/>
    <x v="0"/>
    <x v="1"/>
    <x v="1"/>
    <s v="Contom"/>
    <s v="West"/>
    <x v="1"/>
    <n v="2.05761316872428E-3"/>
    <n v="1"/>
  </r>
  <r>
    <d v="2015-02-27T10:59:00"/>
    <n v="271"/>
    <n v="2"/>
    <n v="215"/>
    <n v="8"/>
    <n v="2"/>
    <n v="1603088"/>
    <x v="269"/>
    <d v="1900-01-09T00:00:00"/>
    <n v="382"/>
    <x v="0"/>
    <n v="2"/>
    <x v="7"/>
    <x v="1"/>
    <s v="Opportunity #271"/>
    <n v="107"/>
    <n v="1"/>
    <x v="0"/>
    <x v="1"/>
    <x v="17"/>
    <x v="7"/>
    <x v="0"/>
    <x v="0"/>
    <x v="0"/>
    <s v="Nimtexon"/>
    <s v="West"/>
    <x v="2"/>
    <n v="2.05761316872428E-3"/>
    <n v="0.5"/>
  </r>
  <r>
    <d v="2015-07-31T08:00:00"/>
    <n v="272"/>
    <n v="2"/>
    <n v="216"/>
    <n v="8"/>
    <n v="2"/>
    <n v="3185673"/>
    <x v="270"/>
    <d v="1900-01-17T00:00:00"/>
    <n v="528"/>
    <x v="0"/>
    <n v="7"/>
    <x v="1"/>
    <x v="1"/>
    <s v="Opportunity #272"/>
    <n v="195"/>
    <n v="2"/>
    <x v="1"/>
    <x v="1"/>
    <x v="17"/>
    <x v="7"/>
    <x v="0"/>
    <x v="0"/>
    <x v="0"/>
    <s v="Dongdox"/>
    <s v="East"/>
    <x v="1"/>
    <n v="2.05761316872428E-3"/>
    <n v="1"/>
  </r>
  <r>
    <d v="2015-03-10T10:59:00"/>
    <n v="273"/>
    <n v="2"/>
    <n v="217"/>
    <n v="22"/>
    <n v="11"/>
    <n v="1828155"/>
    <x v="271"/>
    <d v="1900-01-02T00:00:00"/>
    <n v="431"/>
    <x v="0"/>
    <n v="3"/>
    <x v="10"/>
    <x v="0"/>
    <s v="Opportunity #273"/>
    <n v="122"/>
    <n v="1"/>
    <x v="0"/>
    <x v="0"/>
    <x v="16"/>
    <x v="21"/>
    <x v="1"/>
    <x v="0"/>
    <x v="0"/>
    <s v="Zonfind"/>
    <s v="East"/>
    <x v="2"/>
    <n v="0"/>
    <n v="1"/>
  </r>
  <r>
    <d v="2015-06-30T10:59:00"/>
    <n v="274"/>
    <n v="3"/>
    <n v="218"/>
    <n v="71"/>
    <n v="1"/>
    <n v="3962803"/>
    <x v="272"/>
    <d v="1900-01-14T00:00:00"/>
    <n v="441"/>
    <x v="0"/>
    <n v="6"/>
    <x v="2"/>
    <x v="2"/>
    <s v="Opportunity #274"/>
    <n v="240"/>
    <n v="2"/>
    <x v="1"/>
    <x v="2"/>
    <x v="22"/>
    <x v="69"/>
    <x v="0"/>
    <x v="2"/>
    <x v="2"/>
    <s v="Daltla"/>
    <s v="Central"/>
    <x v="2"/>
    <n v="2.05761316872428E-3"/>
    <n v="9"/>
  </r>
  <r>
    <d v="2015-07-31T07:00:00"/>
    <n v="275"/>
    <n v="2"/>
    <n v="219"/>
    <n v="8"/>
    <n v="20"/>
    <n v="6818253"/>
    <x v="273"/>
    <d v="1900-01-19T00:00:00"/>
    <n v="437"/>
    <x v="0"/>
    <n v="7"/>
    <x v="1"/>
    <x v="1"/>
    <s v="Opportunity #275"/>
    <n v="380"/>
    <n v="3"/>
    <x v="2"/>
    <x v="1"/>
    <x v="11"/>
    <x v="7"/>
    <x v="0"/>
    <x v="0"/>
    <x v="0"/>
    <s v="Labcom"/>
    <s v="East"/>
    <x v="2"/>
    <n v="2.05761316872428E-3"/>
    <n v="0.1111111111111111"/>
  </r>
  <r>
    <d v="2015-05-16T10:59:00"/>
    <n v="276"/>
    <n v="3"/>
    <n v="220"/>
    <n v="3"/>
    <n v="19"/>
    <n v="4003685"/>
    <x v="274"/>
    <d v="1900-01-08T00:00:00"/>
    <n v="372"/>
    <x v="0"/>
    <n v="5"/>
    <x v="0"/>
    <x v="1"/>
    <s v="Opportunity #276"/>
    <n v="243"/>
    <n v="2"/>
    <x v="1"/>
    <x v="1"/>
    <x v="1"/>
    <x v="2"/>
    <x v="0"/>
    <x v="2"/>
    <x v="2"/>
    <s v="E-tax"/>
    <s v="East"/>
    <x v="0"/>
    <n v="2.05761316872428E-3"/>
    <n v="9"/>
  </r>
  <r>
    <d v="2015-03-31T04:00:00"/>
    <n v="277"/>
    <n v="3"/>
    <n v="221"/>
    <n v="22"/>
    <n v="13"/>
    <n v="3163151"/>
    <x v="275"/>
    <d v="1900-01-04T00:00:00"/>
    <n v="450"/>
    <x v="0"/>
    <n v="3"/>
    <x v="10"/>
    <x v="1"/>
    <s v="Opportunity #277"/>
    <n v="192"/>
    <n v="2"/>
    <x v="1"/>
    <x v="1"/>
    <x v="21"/>
    <x v="21"/>
    <x v="1"/>
    <x v="2"/>
    <x v="2"/>
    <s v="doubletam"/>
    <s v="East"/>
    <x v="2"/>
    <n v="0"/>
    <n v="1"/>
  </r>
  <r>
    <d v="2015-03-20T10:59:00"/>
    <n v="278"/>
    <n v="3"/>
    <n v="222"/>
    <n v="22"/>
    <n v="21"/>
    <n v="1871483"/>
    <x v="276"/>
    <d v="1900-01-15T00:00:00"/>
    <n v="428"/>
    <x v="0"/>
    <n v="3"/>
    <x v="10"/>
    <x v="1"/>
    <s v="Opportunity #278"/>
    <n v="127"/>
    <n v="1"/>
    <x v="0"/>
    <x v="1"/>
    <x v="14"/>
    <x v="21"/>
    <x v="1"/>
    <x v="2"/>
    <x v="2"/>
    <s v="Treecare"/>
    <s v="Central"/>
    <x v="1"/>
    <n v="0"/>
    <n v="1"/>
  </r>
  <r>
    <d v="2015-12-31T10:59:00"/>
    <n v="279"/>
    <n v="1"/>
    <n v="223"/>
    <n v="3"/>
    <n v="16"/>
    <n v="12166529"/>
    <x v="277"/>
    <d v="1899-12-31T00:00:00"/>
    <n v="609"/>
    <x v="0"/>
    <n v="12"/>
    <x v="6"/>
    <x v="0"/>
    <s v="Opportunity #279"/>
    <n v="484"/>
    <n v="3"/>
    <x v="2"/>
    <x v="0"/>
    <x v="4"/>
    <x v="2"/>
    <x v="0"/>
    <x v="1"/>
    <x v="1"/>
    <s v="Kay-drill"/>
    <s v="Central"/>
    <x v="1"/>
    <n v="2.05761316872428E-3"/>
    <n v="0.22222222222222221"/>
  </r>
  <r>
    <d v="2015-09-30T10:59:00"/>
    <n v="280"/>
    <n v="1"/>
    <n v="224"/>
    <n v="8"/>
    <n v="3"/>
    <n v="2379340"/>
    <x v="278"/>
    <d v="1900-01-29T00:00:00"/>
    <n v="365"/>
    <x v="0"/>
    <n v="9"/>
    <x v="5"/>
    <x v="0"/>
    <s v="Opportunity #280"/>
    <n v="156"/>
    <n v="1"/>
    <x v="0"/>
    <x v="0"/>
    <x v="13"/>
    <x v="7"/>
    <x v="0"/>
    <x v="1"/>
    <x v="1"/>
    <s v="Reddex"/>
    <s v="East"/>
    <x v="0"/>
    <n v="2.05761316872428E-3"/>
    <n v="1"/>
  </r>
  <r>
    <d v="2015-09-30T10:59:00"/>
    <n v="281"/>
    <n v="2"/>
    <n v="53"/>
    <n v="8"/>
    <n v="19"/>
    <n v="10420204"/>
    <x v="279"/>
    <d v="1900-01-11T00:00:00"/>
    <n v="414"/>
    <x v="0"/>
    <n v="9"/>
    <x v="5"/>
    <x v="1"/>
    <s v="Opportunity #281"/>
    <n v="471"/>
    <n v="3"/>
    <x v="2"/>
    <x v="1"/>
    <x v="1"/>
    <x v="7"/>
    <x v="0"/>
    <x v="0"/>
    <x v="0"/>
    <s v="Acetex"/>
    <s v="East"/>
    <x v="0"/>
    <n v="2.05761316872428E-3"/>
    <n v="0.5"/>
  </r>
  <r>
    <d v="2015-11-30T10:59:00"/>
    <n v="282"/>
    <n v="1"/>
    <n v="225"/>
    <n v="66"/>
    <n v="10"/>
    <n v="10142149"/>
    <x v="280"/>
    <d v="1900-01-14T00:00:00"/>
    <n v="472"/>
    <x v="0"/>
    <n v="11"/>
    <x v="4"/>
    <x v="1"/>
    <s v="Opportunity #282"/>
    <n v="466"/>
    <n v="3"/>
    <x v="2"/>
    <x v="1"/>
    <x v="10"/>
    <x v="64"/>
    <x v="0"/>
    <x v="1"/>
    <x v="1"/>
    <s v="Zuncore"/>
    <s v="East"/>
    <x v="2"/>
    <n v="2.05761316872428E-3"/>
    <n v="2"/>
  </r>
  <r>
    <d v="2015-09-30T10:59:00"/>
    <n v="283"/>
    <n v="1"/>
    <n v="226"/>
    <n v="8"/>
    <n v="20"/>
    <n v="9254244"/>
    <x v="281"/>
    <d v="1900-01-28T00:00:00"/>
    <n v="519"/>
    <x v="0"/>
    <n v="9"/>
    <x v="5"/>
    <x v="2"/>
    <s v="Opportunity #283"/>
    <n v="449"/>
    <n v="3"/>
    <x v="2"/>
    <x v="2"/>
    <x v="11"/>
    <x v="7"/>
    <x v="0"/>
    <x v="1"/>
    <x v="1"/>
    <s v="can-house"/>
    <s v="East"/>
    <x v="2"/>
    <n v="2.05761316872428E-3"/>
    <n v="1"/>
  </r>
  <r>
    <d v="2015-07-31T07:00:00"/>
    <n v="284"/>
    <n v="1"/>
    <n v="227"/>
    <n v="8"/>
    <n v="5"/>
    <n v="8976166"/>
    <x v="282"/>
    <d v="1900-01-22T00:00:00"/>
    <n v="373"/>
    <x v="0"/>
    <n v="7"/>
    <x v="1"/>
    <x v="0"/>
    <s v="Opportunity #284"/>
    <n v="440"/>
    <n v="3"/>
    <x v="2"/>
    <x v="0"/>
    <x v="6"/>
    <x v="7"/>
    <x v="0"/>
    <x v="1"/>
    <x v="1"/>
    <s v="kaycorporation"/>
    <s v="East"/>
    <x v="0"/>
    <n v="2.05761316872428E-3"/>
    <n v="1"/>
  </r>
  <r>
    <d v="2015-06-01T10:59:00"/>
    <n v="285"/>
    <n v="1"/>
    <n v="228"/>
    <n v="8"/>
    <n v="16"/>
    <n v="6497823"/>
    <x v="283"/>
    <d v="1899-12-31T00:00:00"/>
    <n v="516"/>
    <x v="0"/>
    <n v="6"/>
    <x v="2"/>
    <x v="2"/>
    <s v="Opportunity #285"/>
    <n v="367"/>
    <n v="3"/>
    <x v="2"/>
    <x v="2"/>
    <x v="4"/>
    <x v="7"/>
    <x v="0"/>
    <x v="1"/>
    <x v="1"/>
    <s v="Yearzoomhow"/>
    <s v="Central"/>
    <x v="0"/>
    <n v="2.05761316872428E-3"/>
    <n v="1"/>
  </r>
  <r>
    <d v="2015-08-01T10:59:00"/>
    <n v="286"/>
    <n v="1"/>
    <n v="229"/>
    <n v="72"/>
    <n v="18"/>
    <n v="6703829"/>
    <x v="284"/>
    <d v="1899-12-31T00:00:00"/>
    <n v="487"/>
    <x v="0"/>
    <n v="8"/>
    <x v="11"/>
    <x v="1"/>
    <s v="Opportunity #286"/>
    <n v="374"/>
    <n v="3"/>
    <x v="2"/>
    <x v="1"/>
    <x v="3"/>
    <x v="70"/>
    <x v="0"/>
    <x v="1"/>
    <x v="1"/>
    <s v="fixzim"/>
    <s v="Central"/>
    <x v="2"/>
    <n v="2.05761316872428E-3"/>
    <n v="1"/>
  </r>
  <r>
    <d v="2015-09-30T10:59:00"/>
    <n v="287"/>
    <n v="1"/>
    <n v="218"/>
    <n v="8"/>
    <n v="22"/>
    <n v="2203900"/>
    <x v="285"/>
    <d v="1900-01-15T00:00:00"/>
    <n v="441"/>
    <x v="0"/>
    <n v="9"/>
    <x v="5"/>
    <x v="2"/>
    <s v="Opportunity #287"/>
    <n v="148"/>
    <n v="1"/>
    <x v="0"/>
    <x v="2"/>
    <x v="0"/>
    <x v="7"/>
    <x v="0"/>
    <x v="1"/>
    <x v="1"/>
    <s v="Daltla"/>
    <s v="Central"/>
    <x v="2"/>
    <n v="2.05761316872428E-3"/>
    <n v="1"/>
  </r>
  <r>
    <d v="2015-05-29T10:59:00"/>
    <n v="288"/>
    <n v="2"/>
    <n v="230"/>
    <n v="73"/>
    <n v="15"/>
    <n v="1751607"/>
    <x v="10"/>
    <d v="1900-01-13T00:00:00"/>
    <n v="441"/>
    <x v="0"/>
    <n v="5"/>
    <x v="0"/>
    <x v="1"/>
    <s v="Opportunity #288"/>
    <n v="117"/>
    <n v="1"/>
    <x v="0"/>
    <x v="1"/>
    <x v="12"/>
    <x v="71"/>
    <x v="0"/>
    <x v="0"/>
    <x v="0"/>
    <s v="Haytechi"/>
    <s v="Central"/>
    <x v="2"/>
    <n v="2.05761316872428E-3"/>
    <n v="0.5"/>
  </r>
  <r>
    <d v="2015-08-01T10:59:00"/>
    <n v="289"/>
    <n v="1"/>
    <n v="194"/>
    <n v="8"/>
    <n v="17"/>
    <n v="11706144"/>
    <x v="286"/>
    <d v="1899-12-31T00:00:00"/>
    <n v="396"/>
    <x v="0"/>
    <n v="8"/>
    <x v="11"/>
    <x v="2"/>
    <s v="Opportunity #289"/>
    <n v="482"/>
    <n v="3"/>
    <x v="2"/>
    <x v="2"/>
    <x v="20"/>
    <x v="7"/>
    <x v="0"/>
    <x v="1"/>
    <x v="1"/>
    <s v="Ventocone"/>
    <s v="East"/>
    <x v="2"/>
    <n v="2.05761316872428E-3"/>
    <n v="2"/>
  </r>
  <r>
    <d v="2015-07-31T08:00:00"/>
    <n v="290"/>
    <n v="1"/>
    <n v="231"/>
    <n v="74"/>
    <n v="18"/>
    <n v="1708259"/>
    <x v="287"/>
    <d v="1900-01-14T00:00:00"/>
    <n v="503"/>
    <x v="0"/>
    <n v="7"/>
    <x v="1"/>
    <x v="1"/>
    <s v="Opportunity #290"/>
    <n v="115"/>
    <n v="1"/>
    <x v="0"/>
    <x v="1"/>
    <x v="3"/>
    <x v="72"/>
    <x v="0"/>
    <x v="1"/>
    <x v="1"/>
    <s v="Planetcom"/>
    <s v="East"/>
    <x v="1"/>
    <n v="2.05761316872428E-3"/>
    <n v="1"/>
  </r>
  <r>
    <d v="2015-05-21T07:00:00"/>
    <n v="291"/>
    <n v="2"/>
    <n v="232"/>
    <n v="75"/>
    <n v="2"/>
    <n v="1757972"/>
    <x v="288"/>
    <d v="1900-01-07T00:00:00"/>
    <n v="498"/>
    <x v="0"/>
    <n v="5"/>
    <x v="0"/>
    <x v="0"/>
    <s v="Opportunity #291"/>
    <n v="119"/>
    <n v="1"/>
    <x v="0"/>
    <x v="0"/>
    <x v="17"/>
    <x v="73"/>
    <x v="0"/>
    <x v="0"/>
    <x v="0"/>
    <s v="Baseis"/>
    <s v="West"/>
    <x v="2"/>
    <n v="2.05761316872428E-3"/>
    <n v="0.5"/>
  </r>
  <r>
    <d v="2015-03-31T10:59:00"/>
    <n v="292"/>
    <n v="2"/>
    <n v="73"/>
    <n v="1"/>
    <n v="24"/>
    <n v="6261202"/>
    <x v="289"/>
    <d v="1899-12-31T00:00:00"/>
    <n v="395"/>
    <x v="0"/>
    <n v="3"/>
    <x v="10"/>
    <x v="1"/>
    <s v="Opportunity #292"/>
    <n v="356"/>
    <n v="3"/>
    <x v="2"/>
    <x v="1"/>
    <x v="8"/>
    <x v="0"/>
    <x v="0"/>
    <x v="0"/>
    <x v="0"/>
    <s v="Latis"/>
    <s v="Central"/>
    <x v="0"/>
    <n v="2.05761316872428E-3"/>
    <n v="1"/>
  </r>
  <r>
    <d v="2015-05-15T10:59:00"/>
    <n v="293"/>
    <n v="1"/>
    <n v="176"/>
    <n v="3"/>
    <n v="2"/>
    <n v="6119271"/>
    <x v="290"/>
    <d v="1900-01-13T00:00:00"/>
    <n v="366"/>
    <x v="0"/>
    <n v="5"/>
    <x v="0"/>
    <x v="1"/>
    <s v="Opportunity #293"/>
    <n v="348"/>
    <n v="3"/>
    <x v="2"/>
    <x v="1"/>
    <x v="17"/>
    <x v="2"/>
    <x v="0"/>
    <x v="1"/>
    <x v="1"/>
    <s v="Sancore"/>
    <s v="Central"/>
    <x v="0"/>
    <n v="2.05761316872428E-3"/>
    <n v="2"/>
  </r>
  <r>
    <d v="2015-05-23T10:59:00"/>
    <n v="294"/>
    <n v="2"/>
    <n v="233"/>
    <n v="8"/>
    <n v="7"/>
    <n v="2960420"/>
    <x v="291"/>
    <d v="1900-01-22T00:00:00"/>
    <n v="485"/>
    <x v="0"/>
    <n v="5"/>
    <x v="0"/>
    <x v="0"/>
    <s v="Opportunity #294"/>
    <n v="185"/>
    <n v="2"/>
    <x v="1"/>
    <x v="0"/>
    <x v="15"/>
    <x v="7"/>
    <x v="0"/>
    <x v="0"/>
    <x v="0"/>
    <s v="e-can"/>
    <s v="West"/>
    <x v="0"/>
    <n v="2.05761316872428E-3"/>
    <n v="0.5"/>
  </r>
  <r>
    <d v="2015-12-31T10:59:00"/>
    <n v="295"/>
    <n v="1"/>
    <n v="110"/>
    <n v="22"/>
    <n v="22"/>
    <n v="4263304"/>
    <x v="292"/>
    <d v="1900-01-04T00:00:00"/>
    <n v="574"/>
    <x v="0"/>
    <n v="12"/>
    <x v="6"/>
    <x v="1"/>
    <s v="Opportunity #295"/>
    <n v="259"/>
    <n v="2"/>
    <x v="1"/>
    <x v="1"/>
    <x v="0"/>
    <x v="21"/>
    <x v="1"/>
    <x v="1"/>
    <x v="1"/>
    <s v="sanstrip"/>
    <s v="West"/>
    <x v="0"/>
    <n v="0"/>
    <n v="2"/>
  </r>
  <r>
    <d v="2015-12-31T10:59:00"/>
    <n v="296"/>
    <n v="1"/>
    <n v="234"/>
    <n v="8"/>
    <n v="4"/>
    <n v="8682166"/>
    <x v="293"/>
    <d v="1900-01-23T00:00:00"/>
    <n v="372"/>
    <x v="0"/>
    <n v="12"/>
    <x v="6"/>
    <x v="0"/>
    <s v="Opportunity #296"/>
    <n v="430"/>
    <n v="3"/>
    <x v="2"/>
    <x v="0"/>
    <x v="24"/>
    <x v="7"/>
    <x v="0"/>
    <x v="1"/>
    <x v="1"/>
    <s v="Blackplex"/>
    <s v="Central"/>
    <x v="0"/>
    <n v="2.05761316872428E-3"/>
    <n v="1"/>
  </r>
  <r>
    <d v="2015-06-30T10:59:00"/>
    <n v="297"/>
    <n v="3"/>
    <n v="234"/>
    <n v="8"/>
    <n v="25"/>
    <n v="6970218"/>
    <x v="294"/>
    <d v="1900-01-01T00:00:00"/>
    <n v="454"/>
    <x v="0"/>
    <n v="6"/>
    <x v="2"/>
    <x v="0"/>
    <s v="Opportunity #297"/>
    <n v="383"/>
    <n v="3"/>
    <x v="2"/>
    <x v="0"/>
    <x v="9"/>
    <x v="7"/>
    <x v="0"/>
    <x v="2"/>
    <x v="2"/>
    <s v="Blackplex"/>
    <s v="Central"/>
    <x v="0"/>
    <n v="2.05761316872428E-3"/>
    <n v="4.5"/>
  </r>
  <r>
    <d v="2015-04-30T10:59:00"/>
    <n v="298"/>
    <n v="2"/>
    <n v="235"/>
    <n v="8"/>
    <n v="22"/>
    <n v="10070015"/>
    <x v="295"/>
    <d v="1900-01-09T00:00:00"/>
    <n v="444"/>
    <x v="0"/>
    <n v="4"/>
    <x v="8"/>
    <x v="2"/>
    <s v="Opportunity #298"/>
    <n v="464"/>
    <n v="3"/>
    <x v="2"/>
    <x v="2"/>
    <x v="0"/>
    <x v="7"/>
    <x v="0"/>
    <x v="0"/>
    <x v="0"/>
    <s v="Codebam"/>
    <s v="Central"/>
    <x v="0"/>
    <n v="2.05761316872428E-3"/>
    <n v="0.1111111111111111"/>
  </r>
  <r>
    <d v="2015-03-31T10:59:00"/>
    <n v="299"/>
    <n v="4"/>
    <n v="236"/>
    <n v="22"/>
    <n v="21"/>
    <n v="5391785"/>
    <x v="296"/>
    <d v="1900-01-14T00:00:00"/>
    <n v="381"/>
    <x v="0"/>
    <n v="3"/>
    <x v="10"/>
    <x v="2"/>
    <s v="Opportunity #299"/>
    <n v="314"/>
    <n v="2"/>
    <x v="1"/>
    <x v="2"/>
    <x v="14"/>
    <x v="21"/>
    <x v="1"/>
    <x v="3"/>
    <x v="3"/>
    <s v="yearhouse"/>
    <s v="Central"/>
    <x v="0"/>
    <n v="0"/>
    <n v="28"/>
  </r>
  <r>
    <d v="2015-05-29T10:59:00"/>
    <n v="300"/>
    <n v="1"/>
    <n v="237"/>
    <n v="22"/>
    <n v="7"/>
    <n v="166619"/>
    <x v="297"/>
    <d v="1900-01-18T00:00:00"/>
    <n v="405"/>
    <x v="0"/>
    <n v="5"/>
    <x v="0"/>
    <x v="1"/>
    <s v="Opportunity #300"/>
    <n v="20"/>
    <n v="1"/>
    <x v="0"/>
    <x v="1"/>
    <x v="15"/>
    <x v="21"/>
    <x v="1"/>
    <x v="1"/>
    <x v="1"/>
    <s v="Linedom"/>
    <s v="Central"/>
    <x v="0"/>
    <n v="0"/>
    <n v="7.1428571428571425E-2"/>
  </r>
  <r>
    <d v="2015-05-29T10:59:00"/>
    <n v="301"/>
    <n v="2"/>
    <n v="237"/>
    <n v="22"/>
    <n v="16"/>
    <n v="825397"/>
    <x v="298"/>
    <d v="1899-12-31T00:00:00"/>
    <n v="454"/>
    <x v="0"/>
    <n v="5"/>
    <x v="0"/>
    <x v="0"/>
    <s v="Opportunity #301"/>
    <n v="61"/>
    <n v="1"/>
    <x v="0"/>
    <x v="0"/>
    <x v="4"/>
    <x v="21"/>
    <x v="1"/>
    <x v="0"/>
    <x v="0"/>
    <s v="Linedom"/>
    <s v="Central"/>
    <x v="0"/>
    <n v="0"/>
    <n v="0.5"/>
  </r>
  <r>
    <d v="2015-04-24T10:59:00"/>
    <n v="302"/>
    <n v="3"/>
    <n v="238"/>
    <n v="22"/>
    <n v="7"/>
    <n v="6210749"/>
    <x v="299"/>
    <d v="1900-01-06T00:00:00"/>
    <n v="413"/>
    <x v="0"/>
    <n v="4"/>
    <x v="8"/>
    <x v="1"/>
    <s v="Opportunity #302"/>
    <n v="353"/>
    <n v="3"/>
    <x v="2"/>
    <x v="1"/>
    <x v="15"/>
    <x v="21"/>
    <x v="1"/>
    <x v="2"/>
    <x v="2"/>
    <s v="Ware-core"/>
    <s v="Central"/>
    <x v="0"/>
    <n v="0"/>
    <n v="9"/>
  </r>
  <r>
    <d v="2015-12-31T10:59:00"/>
    <n v="303"/>
    <n v="1"/>
    <n v="239"/>
    <n v="76"/>
    <n v="22"/>
    <n v="6022755"/>
    <x v="300"/>
    <d v="1900-01-01T00:00:00"/>
    <n v="485"/>
    <x v="0"/>
    <n v="12"/>
    <x v="6"/>
    <x v="0"/>
    <s v="Opportunity #303"/>
    <n v="345"/>
    <n v="3"/>
    <x v="2"/>
    <x v="0"/>
    <x v="0"/>
    <x v="74"/>
    <x v="0"/>
    <x v="1"/>
    <x v="1"/>
    <s v="statzim"/>
    <s v="East"/>
    <x v="0"/>
    <n v="2.05761316872428E-3"/>
    <n v="0.22222222222222221"/>
  </r>
  <r>
    <d v="2015-04-22T10:59:00"/>
    <n v="304"/>
    <n v="1"/>
    <n v="240"/>
    <n v="77"/>
    <n v="8"/>
    <n v="1667041"/>
    <x v="301"/>
    <d v="1900-01-02T00:00:00"/>
    <n v="443"/>
    <x v="0"/>
    <n v="4"/>
    <x v="8"/>
    <x v="0"/>
    <s v="Opportunity #304"/>
    <n v="111"/>
    <n v="1"/>
    <x v="0"/>
    <x v="0"/>
    <x v="18"/>
    <x v="75"/>
    <x v="0"/>
    <x v="1"/>
    <x v="1"/>
    <s v="Hayzunity"/>
    <s v="West"/>
    <x v="0"/>
    <n v="2.05761316872428E-3"/>
    <n v="1"/>
  </r>
  <r>
    <d v="2015-05-10T10:59:00"/>
    <n v="305"/>
    <n v="2"/>
    <n v="241"/>
    <n v="78"/>
    <n v="19"/>
    <n v="3617221"/>
    <x v="302"/>
    <d v="1900-01-01T00:00:00"/>
    <n v="403"/>
    <x v="0"/>
    <n v="5"/>
    <x v="0"/>
    <x v="2"/>
    <s v="Opportunity #305"/>
    <n v="222"/>
    <n v="2"/>
    <x v="1"/>
    <x v="2"/>
    <x v="1"/>
    <x v="76"/>
    <x v="0"/>
    <x v="0"/>
    <x v="0"/>
    <s v="dongnix"/>
    <s v="East"/>
    <x v="1"/>
    <n v="2.05761316872428E-3"/>
    <n v="0.5"/>
  </r>
  <r>
    <d v="2015-03-10T10:59:00"/>
    <n v="306"/>
    <n v="4"/>
    <n v="14"/>
    <n v="78"/>
    <n v="25"/>
    <n v="8281658"/>
    <x v="303"/>
    <d v="1900-01-09T00:00:00"/>
    <n v="393"/>
    <x v="0"/>
    <n v="3"/>
    <x v="10"/>
    <x v="1"/>
    <s v="Opportunity #306"/>
    <n v="421"/>
    <n v="3"/>
    <x v="2"/>
    <x v="1"/>
    <x v="9"/>
    <x v="76"/>
    <x v="0"/>
    <x v="3"/>
    <x v="3"/>
    <s v="Lanetrans"/>
    <s v="East"/>
    <x v="0"/>
    <n v="2.05761316872428E-3"/>
    <n v="28"/>
  </r>
  <r>
    <d v="2015-03-31T10:59:00"/>
    <n v="307"/>
    <n v="3"/>
    <n v="242"/>
    <n v="22"/>
    <n v="1"/>
    <n v="1441888"/>
    <x v="304"/>
    <d v="1900-01-06T00:00:00"/>
    <n v="417"/>
    <x v="0"/>
    <n v="3"/>
    <x v="10"/>
    <x v="2"/>
    <s v="Opportunity #307"/>
    <n v="96"/>
    <n v="1"/>
    <x v="0"/>
    <x v="2"/>
    <x v="22"/>
    <x v="21"/>
    <x v="1"/>
    <x v="2"/>
    <x v="2"/>
    <s v="Laquadice"/>
    <s v="Central"/>
    <x v="1"/>
    <n v="0"/>
    <n v="0.32142857142857145"/>
  </r>
  <r>
    <d v="2015-01-30T10:59:00"/>
    <n v="308"/>
    <n v="4"/>
    <n v="84"/>
    <n v="22"/>
    <n v="22"/>
    <n v="2123087"/>
    <x v="305"/>
    <d v="1900-01-22T00:00:00"/>
    <n v="372"/>
    <x v="0"/>
    <n v="1"/>
    <x v="9"/>
    <x v="2"/>
    <s v="Opportunity #308"/>
    <n v="139"/>
    <n v="1"/>
    <x v="0"/>
    <x v="2"/>
    <x v="0"/>
    <x v="21"/>
    <x v="1"/>
    <x v="3"/>
    <x v="3"/>
    <s v="Goldentam"/>
    <s v="Central"/>
    <x v="2"/>
    <n v="0"/>
    <n v="3.1111111111111112"/>
  </r>
  <r>
    <d v="2015-05-01T10:59:00"/>
    <n v="309"/>
    <n v="2"/>
    <n v="156"/>
    <n v="22"/>
    <n v="19"/>
    <n v="1076689"/>
    <x v="306"/>
    <d v="1899-12-31T00:00:00"/>
    <n v="485"/>
    <x v="0"/>
    <n v="5"/>
    <x v="0"/>
    <x v="0"/>
    <s v="Opportunity #309"/>
    <n v="74"/>
    <n v="1"/>
    <x v="0"/>
    <x v="0"/>
    <x v="1"/>
    <x v="21"/>
    <x v="1"/>
    <x v="0"/>
    <x v="0"/>
    <s v="Tonelectronics"/>
    <s v="East"/>
    <x v="2"/>
    <n v="0"/>
    <n v="3.5714285714285712E-2"/>
  </r>
  <r>
    <d v="2015-02-27T10:59:00"/>
    <n v="310"/>
    <n v="4"/>
    <n v="243"/>
    <n v="22"/>
    <n v="15"/>
    <n v="5112248"/>
    <x v="307"/>
    <d v="1900-01-04T00:00:00"/>
    <n v="387"/>
    <x v="0"/>
    <n v="2"/>
    <x v="7"/>
    <x v="0"/>
    <s v="Opportunity #310"/>
    <n v="301"/>
    <n v="2"/>
    <x v="1"/>
    <x v="0"/>
    <x v="12"/>
    <x v="21"/>
    <x v="1"/>
    <x v="3"/>
    <x v="3"/>
    <s v="Treegreen"/>
    <s v="East"/>
    <x v="0"/>
    <n v="0"/>
    <n v="28"/>
  </r>
  <r>
    <d v="2015-02-27T10:59:00"/>
    <n v="311"/>
    <n v="4"/>
    <n v="63"/>
    <n v="22"/>
    <n v="7"/>
    <n v="2705033"/>
    <x v="308"/>
    <d v="1900-01-01T00:00:00"/>
    <n v="390"/>
    <x v="0"/>
    <n v="2"/>
    <x v="7"/>
    <x v="2"/>
    <s v="Opportunity #311"/>
    <n v="178"/>
    <n v="2"/>
    <x v="1"/>
    <x v="2"/>
    <x v="15"/>
    <x v="21"/>
    <x v="1"/>
    <x v="3"/>
    <x v="3"/>
    <s v="sailis"/>
    <s v="Central"/>
    <x v="0"/>
    <n v="0"/>
    <n v="1"/>
  </r>
  <r>
    <d v="2015-12-31T10:59:00"/>
    <n v="312"/>
    <n v="1"/>
    <n v="244"/>
    <n v="79"/>
    <n v="22"/>
    <n v="7749360"/>
    <x v="309"/>
    <d v="1900-01-21T00:00:00"/>
    <n v="465"/>
    <x v="0"/>
    <n v="12"/>
    <x v="6"/>
    <x v="1"/>
    <s v="Opportunity #312"/>
    <n v="408"/>
    <n v="3"/>
    <x v="2"/>
    <x v="1"/>
    <x v="0"/>
    <x v="77"/>
    <x v="0"/>
    <x v="1"/>
    <x v="1"/>
    <s v="Bamlane"/>
    <s v="West"/>
    <x v="1"/>
    <n v="2.05761316872428E-3"/>
    <n v="7.1428571428571425E-2"/>
  </r>
  <r>
    <d v="2015-05-29T10:59:00"/>
    <n v="313"/>
    <n v="1"/>
    <n v="245"/>
    <n v="22"/>
    <n v="22"/>
    <n v="4871845"/>
    <x v="310"/>
    <d v="1900-01-15T00:00:00"/>
    <n v="467"/>
    <x v="0"/>
    <n v="5"/>
    <x v="0"/>
    <x v="2"/>
    <s v="Opportunity #313"/>
    <n v="285"/>
    <n v="2"/>
    <x v="1"/>
    <x v="2"/>
    <x v="0"/>
    <x v="21"/>
    <x v="1"/>
    <x v="1"/>
    <x v="1"/>
    <s v="konfax"/>
    <s v="Central"/>
    <x v="0"/>
    <n v="0"/>
    <n v="1"/>
  </r>
  <r>
    <d v="2015-03-13T10:59:00"/>
    <n v="314"/>
    <n v="2"/>
    <n v="238"/>
    <n v="22"/>
    <n v="2"/>
    <n v="5637784"/>
    <x v="311"/>
    <d v="1900-01-02T00:00:00"/>
    <n v="375"/>
    <x v="0"/>
    <n v="3"/>
    <x v="10"/>
    <x v="1"/>
    <s v="Opportunity #314"/>
    <n v="325"/>
    <n v="3"/>
    <x v="2"/>
    <x v="1"/>
    <x v="17"/>
    <x v="21"/>
    <x v="1"/>
    <x v="0"/>
    <x v="0"/>
    <s v="Ware-core"/>
    <s v="Central"/>
    <x v="0"/>
    <n v="0"/>
    <n v="0.5"/>
  </r>
  <r>
    <d v="2015-05-28T10:59:00"/>
    <n v="315"/>
    <n v="1"/>
    <n v="28"/>
    <n v="22"/>
    <n v="24"/>
    <n v="3905866"/>
    <x v="312"/>
    <d v="1900-01-21T00:00:00"/>
    <n v="432"/>
    <x v="0"/>
    <n v="5"/>
    <x v="0"/>
    <x v="1"/>
    <s v="Opportunity #315"/>
    <n v="237"/>
    <n v="2"/>
    <x v="1"/>
    <x v="1"/>
    <x v="8"/>
    <x v="21"/>
    <x v="1"/>
    <x v="1"/>
    <x v="1"/>
    <s v="stripcorporation"/>
    <s v="East"/>
    <x v="2"/>
    <n v="0"/>
    <n v="2"/>
  </r>
  <r>
    <d v="2015-03-20T10:59:00"/>
    <n v="316"/>
    <n v="2"/>
    <n v="52"/>
    <n v="22"/>
    <n v="18"/>
    <n v="856739"/>
    <x v="313"/>
    <d v="1900-01-12T00:00:00"/>
    <n v="431"/>
    <x v="0"/>
    <n v="3"/>
    <x v="10"/>
    <x v="1"/>
    <s v="Opportunity #316"/>
    <n v="63"/>
    <n v="1"/>
    <x v="0"/>
    <x v="1"/>
    <x v="3"/>
    <x v="21"/>
    <x v="1"/>
    <x v="0"/>
    <x v="0"/>
    <s v="Statcom"/>
    <s v="Central"/>
    <x v="0"/>
    <n v="0"/>
    <n v="0.5"/>
  </r>
  <r>
    <d v="2015-06-25T10:59:00"/>
    <n v="317"/>
    <n v="2"/>
    <n v="246"/>
    <n v="67"/>
    <n v="16"/>
    <n v="1698708"/>
    <x v="314"/>
    <d v="1900-01-22T00:00:00"/>
    <n v="398"/>
    <x v="0"/>
    <n v="6"/>
    <x v="2"/>
    <x v="0"/>
    <s v="Opportunity #317"/>
    <n v="114"/>
    <n v="1"/>
    <x v="0"/>
    <x v="0"/>
    <x v="4"/>
    <x v="65"/>
    <x v="0"/>
    <x v="0"/>
    <x v="0"/>
    <s v="Ozersolcon"/>
    <s v="East"/>
    <x v="0"/>
    <n v="2.05761316872428E-3"/>
    <n v="1"/>
  </r>
  <r>
    <d v="2015-05-29T10:59:00"/>
    <n v="318"/>
    <n v="4"/>
    <n v="167"/>
    <n v="80"/>
    <n v="6"/>
    <n v="3464997"/>
    <x v="315"/>
    <d v="1900-01-16T00:00:00"/>
    <n v="466"/>
    <x v="0"/>
    <n v="5"/>
    <x v="0"/>
    <x v="0"/>
    <s v="Opportunity #318"/>
    <n v="212"/>
    <n v="2"/>
    <x v="1"/>
    <x v="0"/>
    <x v="2"/>
    <x v="78"/>
    <x v="0"/>
    <x v="3"/>
    <x v="3"/>
    <s v="solozim"/>
    <s v="West"/>
    <x v="0"/>
    <n v="2.05761316872428E-3"/>
    <n v="28"/>
  </r>
  <r>
    <d v="2015-05-14T10:59:00"/>
    <n v="319"/>
    <n v="3"/>
    <n v="247"/>
    <n v="22"/>
    <n v="21"/>
    <n v="4697562"/>
    <x v="316"/>
    <d v="1900-01-07T00:00:00"/>
    <n v="491"/>
    <x v="0"/>
    <n v="5"/>
    <x v="0"/>
    <x v="0"/>
    <s v="Opportunity #319"/>
    <n v="276"/>
    <n v="2"/>
    <x v="1"/>
    <x v="0"/>
    <x v="14"/>
    <x v="21"/>
    <x v="1"/>
    <x v="2"/>
    <x v="2"/>
    <s v="Xxx-ice"/>
    <s v="East"/>
    <x v="0"/>
    <n v="0"/>
    <n v="0.32142857142857145"/>
  </r>
  <r>
    <d v="2015-06-30T10:59:00"/>
    <n v="320"/>
    <n v="1"/>
    <n v="248"/>
    <n v="3"/>
    <n v="1"/>
    <n v="4650697"/>
    <x v="317"/>
    <d v="1900-01-19T00:00:00"/>
    <n v="526"/>
    <x v="0"/>
    <n v="6"/>
    <x v="2"/>
    <x v="0"/>
    <s v="Opportunity #320"/>
    <n v="274"/>
    <n v="2"/>
    <x v="1"/>
    <x v="0"/>
    <x v="22"/>
    <x v="2"/>
    <x v="0"/>
    <x v="1"/>
    <x v="1"/>
    <s v="Green-taxon"/>
    <s v="Central"/>
    <x v="2"/>
    <n v="2.05761316872428E-3"/>
    <n v="0.22222222222222221"/>
  </r>
  <r>
    <d v="2015-06-04T10:59:00"/>
    <n v="321"/>
    <n v="2"/>
    <n v="238"/>
    <n v="25"/>
    <n v="13"/>
    <n v="9621040"/>
    <x v="318"/>
    <d v="1899-12-31T00:00:00"/>
    <n v="488"/>
    <x v="0"/>
    <n v="6"/>
    <x v="2"/>
    <x v="2"/>
    <s v="Opportunity #321"/>
    <n v="455"/>
    <n v="3"/>
    <x v="2"/>
    <x v="2"/>
    <x v="21"/>
    <x v="24"/>
    <x v="0"/>
    <x v="0"/>
    <x v="0"/>
    <s v="Ware-core"/>
    <s v="Central"/>
    <x v="0"/>
    <n v="2.05761316872428E-3"/>
    <n v="0.5"/>
  </r>
  <r>
    <d v="2015-05-16T10:59:00"/>
    <n v="322"/>
    <n v="3"/>
    <n v="249"/>
    <n v="22"/>
    <n v="3"/>
    <n v="7708066"/>
    <x v="319"/>
    <d v="1900-01-02T00:00:00"/>
    <n v="408"/>
    <x v="0"/>
    <n v="5"/>
    <x v="0"/>
    <x v="1"/>
    <s v="Opportunity #322"/>
    <n v="406"/>
    <n v="3"/>
    <x v="2"/>
    <x v="1"/>
    <x v="13"/>
    <x v="21"/>
    <x v="1"/>
    <x v="2"/>
    <x v="2"/>
    <s v="Isvialax"/>
    <s v="East"/>
    <x v="0"/>
    <n v="0"/>
    <n v="9"/>
  </r>
  <r>
    <d v="2015-11-30T10:59:00"/>
    <n v="323"/>
    <n v="1"/>
    <n v="250"/>
    <n v="22"/>
    <n v="10"/>
    <n v="2135704"/>
    <x v="320"/>
    <d v="1900-01-14T00:00:00"/>
    <n v="625"/>
    <x v="0"/>
    <n v="11"/>
    <x v="4"/>
    <x v="0"/>
    <s v="Opportunity #323"/>
    <n v="140"/>
    <n v="1"/>
    <x v="0"/>
    <x v="0"/>
    <x v="10"/>
    <x v="21"/>
    <x v="1"/>
    <x v="1"/>
    <x v="1"/>
    <s v="Zimnix"/>
    <s v="East"/>
    <x v="0"/>
    <n v="0"/>
    <n v="0.22222222222222221"/>
  </r>
  <r>
    <d v="2015-04-24T10:59:00"/>
    <n v="324"/>
    <n v="1"/>
    <n v="251"/>
    <n v="81"/>
    <n v="11"/>
    <n v="4160476"/>
    <x v="321"/>
    <d v="1900-01-07T00:00:00"/>
    <n v="440"/>
    <x v="0"/>
    <n v="4"/>
    <x v="8"/>
    <x v="0"/>
    <s v="Opportunity #324"/>
    <n v="253"/>
    <n v="2"/>
    <x v="1"/>
    <x v="0"/>
    <x v="16"/>
    <x v="79"/>
    <x v="0"/>
    <x v="1"/>
    <x v="1"/>
    <s v="Groovetom"/>
    <s v="Central"/>
    <x v="0"/>
    <n v="2.05761316872428E-3"/>
    <n v="1"/>
  </r>
  <r>
    <d v="2015-04-30T10:59:00"/>
    <n v="325"/>
    <n v="3"/>
    <n v="7"/>
    <n v="22"/>
    <n v="7"/>
    <n v="234823"/>
    <x v="322"/>
    <d v="1900-01-07T00:00:00"/>
    <n v="418"/>
    <x v="0"/>
    <n v="4"/>
    <x v="8"/>
    <x v="1"/>
    <s v="Opportunity #325"/>
    <n v="25"/>
    <n v="1"/>
    <x v="0"/>
    <x v="1"/>
    <x v="15"/>
    <x v="21"/>
    <x v="1"/>
    <x v="2"/>
    <x v="2"/>
    <s v="Zathlex"/>
    <s v="Central"/>
    <x v="2"/>
    <n v="0"/>
    <n v="4.5"/>
  </r>
  <r>
    <d v="2015-06-19T10:59:00"/>
    <n v="326"/>
    <n v="1"/>
    <n v="252"/>
    <n v="22"/>
    <n v="13"/>
    <n v="3251419"/>
    <x v="323"/>
    <d v="1900-01-15T00:00:00"/>
    <n v="460"/>
    <x v="0"/>
    <n v="6"/>
    <x v="2"/>
    <x v="0"/>
    <s v="Opportunity #326"/>
    <n v="202"/>
    <n v="2"/>
    <x v="1"/>
    <x v="0"/>
    <x v="21"/>
    <x v="21"/>
    <x v="1"/>
    <x v="1"/>
    <x v="1"/>
    <s v="Stancorporation"/>
    <s v="East"/>
    <x v="0"/>
    <n v="0"/>
    <n v="0.22222222222222221"/>
  </r>
  <r>
    <d v="2015-04-30T10:59:00"/>
    <n v="327"/>
    <n v="1"/>
    <n v="210"/>
    <n v="22"/>
    <n v="7"/>
    <n v="590086"/>
    <x v="324"/>
    <d v="1900-01-02T00:00:00"/>
    <n v="423"/>
    <x v="0"/>
    <n v="4"/>
    <x v="8"/>
    <x v="2"/>
    <s v="Opportunity #327"/>
    <n v="48"/>
    <n v="1"/>
    <x v="0"/>
    <x v="2"/>
    <x v="15"/>
    <x v="21"/>
    <x v="1"/>
    <x v="1"/>
    <x v="1"/>
    <s v="Hatzoodom"/>
    <s v="Central"/>
    <x v="0"/>
    <n v="0"/>
    <n v="1"/>
  </r>
  <r>
    <d v="2015-12-31T10:59:00"/>
    <n v="328"/>
    <n v="1"/>
    <n v="253"/>
    <n v="22"/>
    <n v="18"/>
    <n v="5929669"/>
    <x v="325"/>
    <d v="1900-01-05T00:00:00"/>
    <n v="724"/>
    <x v="0"/>
    <n v="12"/>
    <x v="6"/>
    <x v="0"/>
    <s v="Opportunity #328"/>
    <n v="337"/>
    <n v="3"/>
    <x v="2"/>
    <x v="0"/>
    <x v="3"/>
    <x v="21"/>
    <x v="1"/>
    <x v="1"/>
    <x v="1"/>
    <s v="Quadfax"/>
    <s v="West"/>
    <x v="2"/>
    <n v="0"/>
    <n v="1"/>
  </r>
  <r>
    <d v="2015-12-31T10:59:00"/>
    <n v="329"/>
    <n v="1"/>
    <n v="254"/>
    <n v="22"/>
    <n v="14"/>
    <n v="2532027"/>
    <x v="326"/>
    <d v="1900-01-09T00:00:00"/>
    <n v="600"/>
    <x v="0"/>
    <n v="12"/>
    <x v="6"/>
    <x v="0"/>
    <s v="Opportunity #329"/>
    <n v="165"/>
    <n v="2"/>
    <x v="1"/>
    <x v="0"/>
    <x v="23"/>
    <x v="21"/>
    <x v="1"/>
    <x v="1"/>
    <x v="1"/>
    <s v="Kanqvola"/>
    <s v="West"/>
    <x v="2"/>
    <n v="0"/>
    <n v="1"/>
  </r>
  <r>
    <d v="2015-03-02T10:59:00"/>
    <n v="330"/>
    <n v="2"/>
    <n v="250"/>
    <n v="22"/>
    <n v="16"/>
    <n v="3194794"/>
    <x v="327"/>
    <d v="1900-01-01T00:00:00"/>
    <n v="424"/>
    <x v="0"/>
    <n v="3"/>
    <x v="10"/>
    <x v="0"/>
    <s v="Opportunity #330"/>
    <n v="196"/>
    <n v="2"/>
    <x v="1"/>
    <x v="0"/>
    <x v="4"/>
    <x v="21"/>
    <x v="1"/>
    <x v="0"/>
    <x v="0"/>
    <s v="Zimnix"/>
    <s v="East"/>
    <x v="0"/>
    <n v="0"/>
    <n v="0.5"/>
  </r>
  <r>
    <d v="2015-04-01T10:59:00"/>
    <n v="331"/>
    <n v="2"/>
    <n v="255"/>
    <n v="22"/>
    <n v="11"/>
    <n v="1757171"/>
    <x v="328"/>
    <d v="1899-12-31T00:00:00"/>
    <n v="365"/>
    <x v="0"/>
    <n v="4"/>
    <x v="8"/>
    <x v="0"/>
    <s v="Opportunity #331"/>
    <n v="118"/>
    <n v="1"/>
    <x v="0"/>
    <x v="0"/>
    <x v="16"/>
    <x v="21"/>
    <x v="1"/>
    <x v="0"/>
    <x v="0"/>
    <s v="Howtom"/>
    <s v="East"/>
    <x v="2"/>
    <n v="0"/>
    <n v="1"/>
  </r>
  <r>
    <d v="2015-05-31T10:59:00"/>
    <n v="332"/>
    <n v="1"/>
    <n v="256"/>
    <n v="22"/>
    <n v="22"/>
    <n v="2758189"/>
    <x v="329"/>
    <d v="1900-01-08T00:00:00"/>
    <n v="448"/>
    <x v="0"/>
    <n v="5"/>
    <x v="0"/>
    <x v="1"/>
    <s v="Opportunity #332"/>
    <n v="180"/>
    <n v="2"/>
    <x v="1"/>
    <x v="1"/>
    <x v="0"/>
    <x v="21"/>
    <x v="1"/>
    <x v="1"/>
    <x v="1"/>
    <s v="Dong-nix"/>
    <s v="East"/>
    <x v="0"/>
    <n v="0"/>
    <n v="2"/>
  </r>
  <r>
    <d v="2015-12-31T10:59:00"/>
    <n v="333"/>
    <n v="1"/>
    <n v="20"/>
    <n v="13"/>
    <n v="23"/>
    <n v="3378308"/>
    <x v="330"/>
    <d v="1900-01-30T00:00:00"/>
    <n v="426"/>
    <x v="0"/>
    <n v="12"/>
    <x v="6"/>
    <x v="0"/>
    <s v="Opportunity #333"/>
    <n v="208"/>
    <n v="2"/>
    <x v="1"/>
    <x v="0"/>
    <x v="19"/>
    <x v="12"/>
    <x v="0"/>
    <x v="1"/>
    <x v="1"/>
    <s v="Soltex"/>
    <s v="Central"/>
    <x v="1"/>
    <n v="2.05761316872428E-3"/>
    <n v="1"/>
  </r>
  <r>
    <d v="2015-12-31T10:59:00"/>
    <n v="334"/>
    <n v="1"/>
    <n v="257"/>
    <n v="82"/>
    <n v="1"/>
    <n v="8821180"/>
    <x v="331"/>
    <d v="1900-01-25T00:00:00"/>
    <n v="645"/>
    <x v="0"/>
    <n v="12"/>
    <x v="6"/>
    <x v="2"/>
    <s v="Opportunity #334"/>
    <n v="435"/>
    <n v="3"/>
    <x v="2"/>
    <x v="2"/>
    <x v="22"/>
    <x v="80"/>
    <x v="0"/>
    <x v="1"/>
    <x v="1"/>
    <s v="Zimtrax"/>
    <s v="Central"/>
    <x v="1"/>
    <n v="2.05761316872428E-3"/>
    <n v="1"/>
  </r>
  <r>
    <d v="2015-12-31T10:59:00"/>
    <n v="335"/>
    <n v="1"/>
    <n v="258"/>
    <n v="82"/>
    <n v="21"/>
    <n v="5812922"/>
    <x v="332"/>
    <d v="1900-01-16T00:00:00"/>
    <n v="409"/>
    <x v="0"/>
    <n v="12"/>
    <x v="6"/>
    <x v="2"/>
    <s v="Opportunity #335"/>
    <n v="334"/>
    <n v="3"/>
    <x v="2"/>
    <x v="2"/>
    <x v="14"/>
    <x v="80"/>
    <x v="0"/>
    <x v="1"/>
    <x v="1"/>
    <s v="Doubletechno"/>
    <s v="West"/>
    <x v="1"/>
    <n v="2.05761316872428E-3"/>
    <n v="1"/>
  </r>
  <r>
    <d v="2015-12-31T10:59:00"/>
    <n v="336"/>
    <n v="1"/>
    <n v="259"/>
    <n v="54"/>
    <n v="21"/>
    <n v="7695672"/>
    <x v="333"/>
    <d v="1900-01-06T00:00:00"/>
    <n v="603"/>
    <x v="0"/>
    <n v="12"/>
    <x v="6"/>
    <x v="1"/>
    <s v="Opportunity #336"/>
    <n v="405"/>
    <n v="3"/>
    <x v="2"/>
    <x v="1"/>
    <x v="14"/>
    <x v="28"/>
    <x v="0"/>
    <x v="1"/>
    <x v="1"/>
    <s v="fase-lab"/>
    <s v="Central"/>
    <x v="1"/>
    <n v="2.05761316872428E-3"/>
    <n v="1"/>
  </r>
  <r>
    <d v="2015-06-19T10:59:00"/>
    <n v="337"/>
    <n v="1"/>
    <n v="260"/>
    <n v="22"/>
    <n v="22"/>
    <n v="6168120"/>
    <x v="334"/>
    <d v="1900-01-05T00:00:00"/>
    <n v="529"/>
    <x v="0"/>
    <n v="6"/>
    <x v="2"/>
    <x v="0"/>
    <s v="Opportunity #337"/>
    <n v="350"/>
    <n v="3"/>
    <x v="2"/>
    <x v="0"/>
    <x v="0"/>
    <x v="21"/>
    <x v="1"/>
    <x v="1"/>
    <x v="1"/>
    <s v="zummaholdings"/>
    <s v="East"/>
    <x v="2"/>
    <n v="0"/>
    <n v="1"/>
  </r>
  <r>
    <d v="2015-01-31T10:59:00"/>
    <n v="338"/>
    <n v="4"/>
    <n v="261"/>
    <n v="22"/>
    <n v="18"/>
    <n v="2042843"/>
    <x v="335"/>
    <d v="1900-01-25T00:00:00"/>
    <n v="370"/>
    <x v="0"/>
    <n v="1"/>
    <x v="9"/>
    <x v="2"/>
    <s v="Opportunity #338"/>
    <n v="134"/>
    <n v="1"/>
    <x v="0"/>
    <x v="2"/>
    <x v="3"/>
    <x v="21"/>
    <x v="1"/>
    <x v="3"/>
    <x v="3"/>
    <s v="tindox"/>
    <s v="West"/>
    <x v="2"/>
    <n v="0"/>
    <n v="14"/>
  </r>
  <r>
    <d v="2015-04-01T10:59:00"/>
    <n v="339"/>
    <n v="2"/>
    <n v="262"/>
    <n v="22"/>
    <n v="18"/>
    <n v="5112312"/>
    <x v="336"/>
    <d v="1899-12-31T00:00:00"/>
    <n v="396"/>
    <x v="0"/>
    <n v="4"/>
    <x v="8"/>
    <x v="2"/>
    <s v="Opportunity #339"/>
    <n v="302"/>
    <n v="2"/>
    <x v="1"/>
    <x v="2"/>
    <x v="3"/>
    <x v="21"/>
    <x v="1"/>
    <x v="0"/>
    <x v="0"/>
    <s v="Mattech"/>
    <s v="West"/>
    <x v="0"/>
    <n v="0"/>
    <n v="3.5714285714285712E-2"/>
  </r>
  <r>
    <d v="2015-04-30T10:59:00"/>
    <n v="340"/>
    <n v="4"/>
    <n v="263"/>
    <n v="22"/>
    <n v="2"/>
    <n v="4780762"/>
    <x v="337"/>
    <d v="1899-12-31T00:00:00"/>
    <n v="425"/>
    <x v="0"/>
    <n v="4"/>
    <x v="8"/>
    <x v="1"/>
    <s v="Opportunity #340"/>
    <n v="282"/>
    <n v="2"/>
    <x v="1"/>
    <x v="1"/>
    <x v="17"/>
    <x v="21"/>
    <x v="1"/>
    <x v="3"/>
    <x v="3"/>
    <s v="Sumgreen"/>
    <s v="West"/>
    <x v="0"/>
    <n v="0"/>
    <n v="28"/>
  </r>
  <r>
    <d v="2015-04-30T10:59:00"/>
    <n v="341"/>
    <n v="1"/>
    <n v="264"/>
    <n v="22"/>
    <n v="13"/>
    <n v="3436429"/>
    <x v="338"/>
    <d v="1900-01-07T00:00:00"/>
    <n v="477"/>
    <x v="0"/>
    <n v="4"/>
    <x v="8"/>
    <x v="1"/>
    <s v="Opportunity #341"/>
    <n v="211"/>
    <n v="2"/>
    <x v="1"/>
    <x v="1"/>
    <x v="21"/>
    <x v="21"/>
    <x v="1"/>
    <x v="1"/>
    <x v="1"/>
    <s v="Sunbam"/>
    <s v="West"/>
    <x v="2"/>
    <n v="0"/>
    <n v="7.1428571428571425E-2"/>
  </r>
  <r>
    <d v="2015-06-01T10:59:00"/>
    <n v="342"/>
    <n v="2"/>
    <n v="265"/>
    <n v="22"/>
    <n v="14"/>
    <n v="126582"/>
    <x v="339"/>
    <d v="1899-12-31T00:00:00"/>
    <n v="426"/>
    <x v="0"/>
    <n v="6"/>
    <x v="2"/>
    <x v="1"/>
    <s v="Opportunity #342"/>
    <n v="16"/>
    <n v="1"/>
    <x v="0"/>
    <x v="1"/>
    <x v="23"/>
    <x v="21"/>
    <x v="1"/>
    <x v="0"/>
    <x v="0"/>
    <s v="Zontone"/>
    <s v="West"/>
    <x v="0"/>
    <n v="0"/>
    <n v="0.5"/>
  </r>
  <r>
    <d v="2015-05-29T10:59:00"/>
    <n v="343"/>
    <n v="4"/>
    <n v="266"/>
    <n v="22"/>
    <n v="4"/>
    <n v="1935082"/>
    <x v="340"/>
    <d v="1900-01-20T00:00:00"/>
    <n v="373"/>
    <x v="0"/>
    <n v="5"/>
    <x v="0"/>
    <x v="0"/>
    <s v="Opportunity #343"/>
    <n v="131"/>
    <n v="1"/>
    <x v="0"/>
    <x v="0"/>
    <x v="24"/>
    <x v="21"/>
    <x v="1"/>
    <x v="3"/>
    <x v="3"/>
    <s v="J-hatfan"/>
    <s v="East"/>
    <x v="0"/>
    <n v="0"/>
    <n v="28"/>
  </r>
  <r>
    <d v="2015-06-29T10:59:00"/>
    <n v="344"/>
    <n v="2"/>
    <n v="267"/>
    <n v="22"/>
    <n v="24"/>
    <n v="3700117"/>
    <x v="341"/>
    <d v="1900-01-28T00:00:00"/>
    <n v="516"/>
    <x v="0"/>
    <n v="6"/>
    <x v="2"/>
    <x v="0"/>
    <s v="Opportunity #344"/>
    <n v="228"/>
    <n v="2"/>
    <x v="1"/>
    <x v="0"/>
    <x v="8"/>
    <x v="21"/>
    <x v="1"/>
    <x v="0"/>
    <x v="0"/>
    <s v="Saillam"/>
    <s v="East"/>
    <x v="0"/>
    <n v="0"/>
    <n v="3.5714285714285712E-2"/>
  </r>
  <r>
    <d v="2015-04-29T10:59:00"/>
    <n v="345"/>
    <n v="2"/>
    <n v="268"/>
    <n v="22"/>
    <n v="3"/>
    <n v="1418229"/>
    <x v="342"/>
    <d v="1900-01-04T00:00:00"/>
    <n v="389"/>
    <x v="0"/>
    <n v="4"/>
    <x v="8"/>
    <x v="1"/>
    <s v="Opportunity #345"/>
    <n v="92"/>
    <n v="1"/>
    <x v="0"/>
    <x v="1"/>
    <x v="13"/>
    <x v="21"/>
    <x v="1"/>
    <x v="0"/>
    <x v="0"/>
    <s v="Qvokaycom"/>
    <s v="East"/>
    <x v="2"/>
    <n v="0"/>
    <n v="1"/>
  </r>
  <r>
    <d v="2015-06-30T10:59:00"/>
    <n v="346"/>
    <n v="1"/>
    <n v="246"/>
    <n v="22"/>
    <n v="17"/>
    <n v="3501919"/>
    <x v="343"/>
    <d v="1900-01-02T00:00:00"/>
    <n v="512"/>
    <x v="0"/>
    <n v="6"/>
    <x v="2"/>
    <x v="0"/>
    <s v="Opportunity #346"/>
    <n v="216"/>
    <n v="2"/>
    <x v="1"/>
    <x v="0"/>
    <x v="20"/>
    <x v="21"/>
    <x v="1"/>
    <x v="1"/>
    <x v="1"/>
    <s v="Ozersolcon"/>
    <s v="East"/>
    <x v="0"/>
    <n v="0"/>
    <n v="2"/>
  </r>
  <r>
    <d v="2015-06-30T10:59:00"/>
    <n v="347"/>
    <n v="1"/>
    <n v="269"/>
    <n v="22"/>
    <n v="16"/>
    <n v="2230393"/>
    <x v="344"/>
    <d v="1900-01-27T00:00:00"/>
    <n v="428"/>
    <x v="0"/>
    <n v="6"/>
    <x v="2"/>
    <x v="0"/>
    <s v="Opportunity #347"/>
    <n v="150"/>
    <n v="1"/>
    <x v="0"/>
    <x v="0"/>
    <x v="4"/>
    <x v="21"/>
    <x v="1"/>
    <x v="1"/>
    <x v="1"/>
    <s v="Zumtax"/>
    <s v="East"/>
    <x v="0"/>
    <n v="0"/>
    <n v="1"/>
  </r>
  <r>
    <d v="2015-06-30T10:59:00"/>
    <n v="348"/>
    <n v="2"/>
    <n v="270"/>
    <n v="22"/>
    <n v="4"/>
    <n v="2200700"/>
    <x v="345"/>
    <d v="1900-01-02T00:00:00"/>
    <n v="453"/>
    <x v="0"/>
    <n v="6"/>
    <x v="2"/>
    <x v="2"/>
    <s v="Opportunity #348"/>
    <n v="147"/>
    <n v="1"/>
    <x v="0"/>
    <x v="2"/>
    <x v="24"/>
    <x v="21"/>
    <x v="1"/>
    <x v="0"/>
    <x v="0"/>
    <s v="Zencode"/>
    <s v="East"/>
    <x v="0"/>
    <n v="0"/>
    <n v="0.5"/>
  </r>
  <r>
    <d v="2015-06-30T10:59:00"/>
    <n v="349"/>
    <n v="2"/>
    <n v="271"/>
    <n v="22"/>
    <n v="10"/>
    <n v="2630698"/>
    <x v="346"/>
    <d v="1900-01-28T00:00:00"/>
    <n v="427"/>
    <x v="0"/>
    <n v="6"/>
    <x v="2"/>
    <x v="2"/>
    <s v="Opportunity #349"/>
    <n v="172"/>
    <n v="2"/>
    <x v="1"/>
    <x v="2"/>
    <x v="10"/>
    <x v="21"/>
    <x v="1"/>
    <x v="0"/>
    <x v="0"/>
    <s v="Geoflex"/>
    <s v="East"/>
    <x v="0"/>
    <n v="0"/>
    <n v="1"/>
  </r>
  <r>
    <d v="2015-06-30T10:59:00"/>
    <n v="350"/>
    <n v="1"/>
    <n v="272"/>
    <n v="8"/>
    <n v="20"/>
    <n v="3134986"/>
    <x v="347"/>
    <d v="1900-01-18T00:00:00"/>
    <n v="527"/>
    <x v="0"/>
    <n v="6"/>
    <x v="2"/>
    <x v="0"/>
    <s v="Opportunity #350"/>
    <n v="189"/>
    <n v="2"/>
    <x v="1"/>
    <x v="0"/>
    <x v="11"/>
    <x v="7"/>
    <x v="0"/>
    <x v="1"/>
    <x v="1"/>
    <s v="Fasestreet"/>
    <s v="East"/>
    <x v="0"/>
    <n v="2.05761316872428E-3"/>
    <n v="2"/>
  </r>
  <r>
    <d v="2015-06-30T10:59:00"/>
    <n v="351"/>
    <n v="2"/>
    <n v="273"/>
    <n v="22"/>
    <n v="8"/>
    <n v="6552164"/>
    <x v="348"/>
    <d v="1900-01-12T00:00:00"/>
    <n v="533"/>
    <x v="0"/>
    <n v="6"/>
    <x v="2"/>
    <x v="0"/>
    <s v="Opportunity #351"/>
    <n v="370"/>
    <n v="3"/>
    <x v="2"/>
    <x v="0"/>
    <x v="18"/>
    <x v="21"/>
    <x v="1"/>
    <x v="0"/>
    <x v="0"/>
    <s v="Ronbam"/>
    <s v="East"/>
    <x v="0"/>
    <n v="0"/>
    <n v="0.5"/>
  </r>
  <r>
    <d v="2015-06-30T10:59:00"/>
    <n v="352"/>
    <n v="2"/>
    <n v="274"/>
    <n v="22"/>
    <n v="16"/>
    <n v="565035"/>
    <x v="349"/>
    <d v="1900-01-09T00:00:00"/>
    <n v="446"/>
    <x v="0"/>
    <n v="6"/>
    <x v="2"/>
    <x v="2"/>
    <s v="Opportunity #352"/>
    <n v="46"/>
    <n v="1"/>
    <x v="0"/>
    <x v="2"/>
    <x v="4"/>
    <x v="21"/>
    <x v="1"/>
    <x v="0"/>
    <x v="0"/>
    <s v="Keytom"/>
    <s v="East"/>
    <x v="0"/>
    <n v="0"/>
    <n v="1"/>
  </r>
  <r>
    <d v="2015-06-30T10:59:00"/>
    <n v="353"/>
    <n v="1"/>
    <n v="275"/>
    <n v="22"/>
    <n v="18"/>
    <n v="535605"/>
    <x v="350"/>
    <d v="1900-01-19T00:00:00"/>
    <n v="375"/>
    <x v="0"/>
    <n v="6"/>
    <x v="2"/>
    <x v="2"/>
    <s v="Opportunity #353"/>
    <n v="44"/>
    <n v="1"/>
    <x v="0"/>
    <x v="2"/>
    <x v="3"/>
    <x v="21"/>
    <x v="1"/>
    <x v="1"/>
    <x v="1"/>
    <s v="Siliconplus"/>
    <s v="West"/>
    <x v="2"/>
    <n v="0"/>
    <n v="2"/>
  </r>
  <r>
    <d v="2015-06-30T10:59:00"/>
    <n v="354"/>
    <n v="3"/>
    <n v="276"/>
    <n v="22"/>
    <n v="4"/>
    <n v="4338832"/>
    <x v="351"/>
    <d v="1900-01-10T00:00:00"/>
    <n v="476"/>
    <x v="0"/>
    <n v="6"/>
    <x v="2"/>
    <x v="1"/>
    <s v="Opportunity #354"/>
    <n v="262"/>
    <n v="2"/>
    <x v="1"/>
    <x v="1"/>
    <x v="24"/>
    <x v="21"/>
    <x v="1"/>
    <x v="2"/>
    <x v="2"/>
    <s v="Betahex"/>
    <s v="East"/>
    <x v="2"/>
    <n v="0"/>
    <n v="4.5"/>
  </r>
  <r>
    <d v="2015-06-27T10:59:00"/>
    <n v="355"/>
    <n v="1"/>
    <n v="277"/>
    <n v="22"/>
    <n v="12"/>
    <n v="2702266"/>
    <x v="352"/>
    <d v="1900-01-24T00:00:00"/>
    <n v="459"/>
    <x v="0"/>
    <n v="6"/>
    <x v="2"/>
    <x v="1"/>
    <s v="Opportunity #355"/>
    <n v="177"/>
    <n v="2"/>
    <x v="1"/>
    <x v="1"/>
    <x v="5"/>
    <x v="21"/>
    <x v="1"/>
    <x v="1"/>
    <x v="1"/>
    <s v="Overhigh"/>
    <s v="East"/>
    <x v="2"/>
    <n v="0"/>
    <n v="0.22222222222222221"/>
  </r>
  <r>
    <d v="2015-06-17T10:59:00"/>
    <n v="356"/>
    <n v="2"/>
    <n v="278"/>
    <n v="22"/>
    <n v="20"/>
    <n v="767582"/>
    <x v="353"/>
    <d v="1900-01-03T00:00:00"/>
    <n v="409"/>
    <x v="0"/>
    <n v="6"/>
    <x v="2"/>
    <x v="0"/>
    <s v="Opportunity #356"/>
    <n v="59"/>
    <n v="1"/>
    <x v="0"/>
    <x v="0"/>
    <x v="11"/>
    <x v="21"/>
    <x v="1"/>
    <x v="0"/>
    <x v="0"/>
    <s v="Ganzit"/>
    <s v="East"/>
    <x v="0"/>
    <n v="0"/>
    <n v="0.5"/>
  </r>
  <r>
    <d v="2015-06-23T10:59:00"/>
    <n v="357"/>
    <n v="2"/>
    <n v="279"/>
    <n v="22"/>
    <n v="20"/>
    <n v="1922932"/>
    <x v="354"/>
    <d v="1900-01-15T00:00:00"/>
    <n v="464"/>
    <x v="0"/>
    <n v="6"/>
    <x v="2"/>
    <x v="0"/>
    <s v="Opportunity #357"/>
    <n v="130"/>
    <n v="1"/>
    <x v="0"/>
    <x v="0"/>
    <x v="11"/>
    <x v="21"/>
    <x v="1"/>
    <x v="0"/>
    <x v="0"/>
    <s v="Y-dom"/>
    <s v="East"/>
    <x v="2"/>
    <n v="0"/>
    <n v="1"/>
  </r>
  <r>
    <d v="2015-04-17T10:59:00"/>
    <n v="358"/>
    <n v="4"/>
    <n v="47"/>
    <n v="22"/>
    <n v="21"/>
    <n v="3488444"/>
    <x v="355"/>
    <d v="1900-01-01T00:00:00"/>
    <n v="411"/>
    <x v="0"/>
    <n v="4"/>
    <x v="8"/>
    <x v="0"/>
    <s v="Opportunity #358"/>
    <n v="215"/>
    <n v="2"/>
    <x v="1"/>
    <x v="0"/>
    <x v="14"/>
    <x v="21"/>
    <x v="1"/>
    <x v="3"/>
    <x v="3"/>
    <s v="Sanfan"/>
    <s v="West"/>
    <x v="2"/>
    <n v="0"/>
    <n v="28"/>
  </r>
  <r>
    <d v="2015-12-31T10:59:00"/>
    <n v="359"/>
    <n v="1"/>
    <n v="280"/>
    <n v="12"/>
    <n v="15"/>
    <n v="8146942"/>
    <x v="356"/>
    <d v="1900-01-16T00:00:00"/>
    <n v="470"/>
    <x v="0"/>
    <n v="12"/>
    <x v="6"/>
    <x v="1"/>
    <s v="Opportunity #359"/>
    <n v="417"/>
    <n v="3"/>
    <x v="2"/>
    <x v="1"/>
    <x v="12"/>
    <x v="11"/>
    <x v="0"/>
    <x v="1"/>
    <x v="1"/>
    <s v="Goldcone"/>
    <s v="Central"/>
    <x v="1"/>
    <n v="2.05761316872428E-3"/>
    <n v="7.1428571428571425E-2"/>
  </r>
  <r>
    <d v="2015-02-09T10:59:00"/>
    <n v="360"/>
    <n v="2"/>
    <n v="281"/>
    <n v="22"/>
    <n v="2"/>
    <n v="4600206"/>
    <x v="357"/>
    <d v="1900-01-02T00:00:00"/>
    <n v="402"/>
    <x v="0"/>
    <n v="2"/>
    <x v="7"/>
    <x v="0"/>
    <s v="Opportunity #360"/>
    <n v="272"/>
    <n v="2"/>
    <x v="1"/>
    <x v="0"/>
    <x v="17"/>
    <x v="21"/>
    <x v="1"/>
    <x v="0"/>
    <x v="0"/>
    <s v="Greencorporation"/>
    <s v="West"/>
    <x v="2"/>
    <n v="0"/>
    <n v="0.5"/>
  </r>
  <r>
    <d v="2015-09-30T10:59:00"/>
    <n v="361"/>
    <n v="1"/>
    <n v="282"/>
    <n v="83"/>
    <n v="13"/>
    <n v="7768660"/>
    <x v="358"/>
    <d v="1900-01-14T00:00:00"/>
    <n v="472"/>
    <x v="0"/>
    <n v="9"/>
    <x v="5"/>
    <x v="0"/>
    <s v="Opportunity #361"/>
    <n v="411"/>
    <n v="3"/>
    <x v="2"/>
    <x v="0"/>
    <x v="21"/>
    <x v="81"/>
    <x v="0"/>
    <x v="1"/>
    <x v="1"/>
    <s v="Qvodex"/>
    <s v="Central"/>
    <x v="2"/>
    <n v="2.05761316872428E-3"/>
    <n v="2"/>
  </r>
  <r>
    <d v="2015-04-01T10:59:00"/>
    <n v="362"/>
    <n v="4"/>
    <n v="283"/>
    <n v="22"/>
    <n v="6"/>
    <n v="3634069"/>
    <x v="359"/>
    <d v="1899-12-31T00:00:00"/>
    <n v="396"/>
    <x v="0"/>
    <n v="4"/>
    <x v="8"/>
    <x v="0"/>
    <s v="Opportunity #362"/>
    <n v="223"/>
    <n v="2"/>
    <x v="1"/>
    <x v="0"/>
    <x v="2"/>
    <x v="21"/>
    <x v="1"/>
    <x v="3"/>
    <x v="3"/>
    <s v="zertech"/>
    <s v="East"/>
    <x v="0"/>
    <n v="0"/>
    <n v="14"/>
  </r>
  <r>
    <d v="2015-04-30T10:59:00"/>
    <n v="363"/>
    <n v="2"/>
    <n v="284"/>
    <n v="8"/>
    <n v="23"/>
    <n v="5396172"/>
    <x v="360"/>
    <d v="1900-01-06T00:00:00"/>
    <n v="419"/>
    <x v="0"/>
    <n v="4"/>
    <x v="8"/>
    <x v="2"/>
    <s v="Opportunity #363"/>
    <n v="315"/>
    <n v="2"/>
    <x v="1"/>
    <x v="2"/>
    <x v="19"/>
    <x v="7"/>
    <x v="0"/>
    <x v="0"/>
    <x v="0"/>
    <s v="Vaiatax"/>
    <s v="West"/>
    <x v="0"/>
    <n v="2.05761316872428E-3"/>
    <n v="3.5714285714285712E-2"/>
  </r>
  <r>
    <d v="2015-06-25T10:59:00"/>
    <n v="364"/>
    <n v="2"/>
    <n v="285"/>
    <n v="22"/>
    <n v="4"/>
    <n v="5438441"/>
    <x v="361"/>
    <d v="1900-01-17T00:00:00"/>
    <n v="372"/>
    <x v="0"/>
    <n v="6"/>
    <x v="2"/>
    <x v="2"/>
    <s v="Opportunity #364"/>
    <n v="317"/>
    <n v="2"/>
    <x v="1"/>
    <x v="2"/>
    <x v="24"/>
    <x v="21"/>
    <x v="1"/>
    <x v="0"/>
    <x v="0"/>
    <s v="u-bam"/>
    <s v="Central"/>
    <x v="0"/>
    <n v="0"/>
    <n v="1"/>
  </r>
  <r>
    <d v="2015-12-31T10:59:00"/>
    <n v="365"/>
    <n v="1"/>
    <n v="286"/>
    <n v="9"/>
    <n v="15"/>
    <n v="3240465"/>
    <x v="362"/>
    <d v="1900-01-26T00:00:00"/>
    <n v="460"/>
    <x v="0"/>
    <n v="12"/>
    <x v="6"/>
    <x v="2"/>
    <s v="Opportunity #365"/>
    <n v="199"/>
    <n v="2"/>
    <x v="1"/>
    <x v="2"/>
    <x v="12"/>
    <x v="8"/>
    <x v="0"/>
    <x v="1"/>
    <x v="1"/>
    <s v="zertrax"/>
    <s v="Central"/>
    <x v="1"/>
    <n v="2.05761316872428E-3"/>
    <n v="2"/>
  </r>
  <r>
    <d v="2015-05-01T10:59:00"/>
    <n v="366"/>
    <n v="2"/>
    <n v="229"/>
    <n v="22"/>
    <n v="22"/>
    <n v="5034222"/>
    <x v="363"/>
    <d v="1899-12-31T00:00:00"/>
    <n v="485"/>
    <x v="0"/>
    <n v="5"/>
    <x v="0"/>
    <x v="0"/>
    <s v="Opportunity #366"/>
    <n v="298"/>
    <n v="2"/>
    <x v="1"/>
    <x v="0"/>
    <x v="0"/>
    <x v="21"/>
    <x v="1"/>
    <x v="0"/>
    <x v="0"/>
    <s v="fixzim"/>
    <s v="Central"/>
    <x v="2"/>
    <n v="0"/>
    <n v="0.5"/>
  </r>
  <r>
    <d v="2015-05-28T10:59:00"/>
    <n v="367"/>
    <n v="1"/>
    <n v="287"/>
    <n v="22"/>
    <n v="18"/>
    <n v="3139133"/>
    <x v="364"/>
    <d v="1900-01-01T00:00:00"/>
    <n v="452"/>
    <x v="0"/>
    <n v="5"/>
    <x v="0"/>
    <x v="1"/>
    <s v="Opportunity #367"/>
    <n v="190"/>
    <n v="2"/>
    <x v="1"/>
    <x v="1"/>
    <x v="3"/>
    <x v="21"/>
    <x v="1"/>
    <x v="1"/>
    <x v="1"/>
    <s v="Truedom"/>
    <s v="Central"/>
    <x v="0"/>
    <n v="0"/>
    <n v="2"/>
  </r>
  <r>
    <d v="2015-05-29T10:59:00"/>
    <n v="368"/>
    <n v="3"/>
    <n v="78"/>
    <n v="22"/>
    <n v="24"/>
    <n v="2589863"/>
    <x v="365"/>
    <d v="1900-01-26T00:00:00"/>
    <n v="367"/>
    <x v="0"/>
    <n v="5"/>
    <x v="0"/>
    <x v="0"/>
    <s v="Opportunity #368"/>
    <n v="169"/>
    <n v="2"/>
    <x v="1"/>
    <x v="0"/>
    <x v="8"/>
    <x v="21"/>
    <x v="1"/>
    <x v="2"/>
    <x v="2"/>
    <s v="Voltamcore"/>
    <s v="East"/>
    <x v="0"/>
    <n v="0"/>
    <n v="4.5"/>
  </r>
  <r>
    <d v="2015-05-29T10:59:00"/>
    <n v="369"/>
    <n v="1"/>
    <n v="288"/>
    <n v="22"/>
    <n v="9"/>
    <n v="1541529"/>
    <x v="366"/>
    <d v="1900-01-03T00:00:00"/>
    <n v="390"/>
    <x v="0"/>
    <n v="5"/>
    <x v="0"/>
    <x v="1"/>
    <s v="Opportunity #369"/>
    <n v="104"/>
    <n v="1"/>
    <x v="0"/>
    <x v="1"/>
    <x v="7"/>
    <x v="21"/>
    <x v="1"/>
    <x v="1"/>
    <x v="1"/>
    <s v="Vivatrax"/>
    <s v="West"/>
    <x v="0"/>
    <n v="0"/>
    <n v="0.22222222222222221"/>
  </r>
  <r>
    <d v="2015-06-26T10:59:00"/>
    <n v="370"/>
    <n v="1"/>
    <n v="22"/>
    <n v="22"/>
    <n v="16"/>
    <n v="4984622"/>
    <x v="367"/>
    <d v="1900-01-20T00:00:00"/>
    <n v="370"/>
    <x v="0"/>
    <n v="6"/>
    <x v="2"/>
    <x v="1"/>
    <s v="Opportunity #370"/>
    <n v="294"/>
    <n v="2"/>
    <x v="1"/>
    <x v="1"/>
    <x v="4"/>
    <x v="21"/>
    <x v="1"/>
    <x v="1"/>
    <x v="1"/>
    <s v="Lamdexon"/>
    <s v="East"/>
    <x v="0"/>
    <n v="0"/>
    <n v="1"/>
  </r>
  <r>
    <d v="2015-04-27T10:59:00"/>
    <n v="371"/>
    <n v="1"/>
    <n v="289"/>
    <n v="22"/>
    <n v="9"/>
    <n v="5455757"/>
    <x v="368"/>
    <d v="1900-01-03T00:00:00"/>
    <n v="478"/>
    <x v="0"/>
    <n v="4"/>
    <x v="8"/>
    <x v="2"/>
    <s v="Opportunity #371"/>
    <n v="318"/>
    <n v="2"/>
    <x v="1"/>
    <x v="2"/>
    <x v="7"/>
    <x v="21"/>
    <x v="1"/>
    <x v="1"/>
    <x v="1"/>
    <s v="Applanet"/>
    <s v="East"/>
    <x v="0"/>
    <n v="0"/>
    <n v="1"/>
  </r>
  <r>
    <d v="2015-04-30T10:59:00"/>
    <n v="372"/>
    <n v="1"/>
    <n v="290"/>
    <n v="22"/>
    <n v="17"/>
    <n v="4370514"/>
    <x v="369"/>
    <d v="1900-01-20T00:00:00"/>
    <n v="433"/>
    <x v="0"/>
    <n v="4"/>
    <x v="8"/>
    <x v="1"/>
    <s v="Opportunity #372"/>
    <n v="264"/>
    <n v="2"/>
    <x v="1"/>
    <x v="1"/>
    <x v="20"/>
    <x v="21"/>
    <x v="1"/>
    <x v="1"/>
    <x v="1"/>
    <s v="Silverelectrics"/>
    <s v="West"/>
    <x v="2"/>
    <n v="0"/>
    <n v="1"/>
  </r>
  <r>
    <d v="2015-06-30T10:59:00"/>
    <n v="373"/>
    <n v="1"/>
    <n v="291"/>
    <n v="22"/>
    <n v="8"/>
    <n v="5626094"/>
    <x v="370"/>
    <d v="1900-01-18T00:00:00"/>
    <n v="376"/>
    <x v="0"/>
    <n v="6"/>
    <x v="2"/>
    <x v="2"/>
    <s v="Opportunity #373"/>
    <n v="322"/>
    <n v="2"/>
    <x v="1"/>
    <x v="2"/>
    <x v="18"/>
    <x v="21"/>
    <x v="1"/>
    <x v="1"/>
    <x v="1"/>
    <s v="Howfan"/>
    <s v="East"/>
    <x v="0"/>
    <n v="0"/>
    <n v="1"/>
  </r>
  <r>
    <d v="2015-06-30T10:59:00"/>
    <n v="374"/>
    <n v="1"/>
    <n v="292"/>
    <n v="22"/>
    <n v="6"/>
    <n v="595469"/>
    <x v="371"/>
    <d v="1900-01-07T00:00:00"/>
    <n v="448"/>
    <x v="0"/>
    <n v="6"/>
    <x v="2"/>
    <x v="0"/>
    <s v="Opportunity #374"/>
    <n v="49"/>
    <n v="1"/>
    <x v="0"/>
    <x v="0"/>
    <x v="2"/>
    <x v="21"/>
    <x v="1"/>
    <x v="1"/>
    <x v="1"/>
    <s v="Tansuntom"/>
    <s v="Central"/>
    <x v="2"/>
    <n v="0"/>
    <n v="1"/>
  </r>
  <r>
    <d v="2015-12-31T10:59:00"/>
    <n v="375"/>
    <n v="1"/>
    <n v="293"/>
    <n v="12"/>
    <n v="1"/>
    <n v="6461315"/>
    <x v="372"/>
    <d v="1900-01-14T00:00:00"/>
    <n v="656"/>
    <x v="0"/>
    <n v="12"/>
    <x v="6"/>
    <x v="1"/>
    <s v="Opportunity #375"/>
    <n v="366"/>
    <n v="3"/>
    <x v="2"/>
    <x v="1"/>
    <x v="22"/>
    <x v="11"/>
    <x v="0"/>
    <x v="1"/>
    <x v="1"/>
    <s v="Graveron"/>
    <s v="West"/>
    <x v="1"/>
    <n v="2.05761316872428E-3"/>
    <n v="1"/>
  </r>
  <r>
    <d v="2015-04-27T10:59:00"/>
    <n v="376"/>
    <n v="3"/>
    <n v="32"/>
    <n v="22"/>
    <n v="12"/>
    <n v="4441789"/>
    <x v="373"/>
    <d v="1900-01-16T00:00:00"/>
    <n v="434"/>
    <x v="0"/>
    <n v="4"/>
    <x v="8"/>
    <x v="1"/>
    <s v="Opportunity #376"/>
    <n v="268"/>
    <n v="2"/>
    <x v="1"/>
    <x v="1"/>
    <x v="5"/>
    <x v="21"/>
    <x v="1"/>
    <x v="2"/>
    <x v="2"/>
    <s v="Citycity"/>
    <s v="East"/>
    <x v="2"/>
    <n v="0"/>
    <n v="4.5"/>
  </r>
  <r>
    <d v="2015-01-15T10:59:00"/>
    <n v="377"/>
    <n v="3"/>
    <n v="204"/>
    <n v="25"/>
    <n v="15"/>
    <n v="960271"/>
    <x v="374"/>
    <d v="1899-12-31T00:00:00"/>
    <n v="379"/>
    <x v="0"/>
    <n v="1"/>
    <x v="9"/>
    <x v="2"/>
    <s v="Opportunity #377"/>
    <n v="69"/>
    <n v="1"/>
    <x v="0"/>
    <x v="2"/>
    <x v="12"/>
    <x v="24"/>
    <x v="0"/>
    <x v="2"/>
    <x v="2"/>
    <s v="acelex"/>
    <s v="Central"/>
    <x v="0"/>
    <n v="2.05761316872428E-3"/>
    <n v="1"/>
  </r>
  <r>
    <d v="2015-06-30T10:59:00"/>
    <n v="378"/>
    <n v="3"/>
    <n v="70"/>
    <n v="22"/>
    <n v="1"/>
    <n v="1446339"/>
    <x v="375"/>
    <d v="1900-01-14T00:00:00"/>
    <n v="500"/>
    <x v="0"/>
    <n v="6"/>
    <x v="2"/>
    <x v="0"/>
    <s v="Opportunity #378"/>
    <n v="97"/>
    <n v="1"/>
    <x v="0"/>
    <x v="0"/>
    <x v="22"/>
    <x v="21"/>
    <x v="1"/>
    <x v="2"/>
    <x v="2"/>
    <s v="Keystreet"/>
    <s v="West"/>
    <x v="2"/>
    <n v="0"/>
    <n v="1"/>
  </r>
  <r>
    <d v="2015-12-31T10:59:00"/>
    <n v="379"/>
    <n v="1"/>
    <n v="294"/>
    <n v="22"/>
    <n v="2"/>
    <n v="2043333"/>
    <x v="376"/>
    <d v="1900-01-26T00:00:00"/>
    <n v="460"/>
    <x v="0"/>
    <n v="12"/>
    <x v="6"/>
    <x v="2"/>
    <s v="Opportunity #379"/>
    <n v="135"/>
    <n v="1"/>
    <x v="0"/>
    <x v="2"/>
    <x v="17"/>
    <x v="21"/>
    <x v="1"/>
    <x v="1"/>
    <x v="1"/>
    <s v="Bamron"/>
    <s v="Central"/>
    <x v="1"/>
    <n v="0"/>
    <n v="0.22222222222222221"/>
  </r>
  <r>
    <d v="2015-04-24T10:59:00"/>
    <n v="380"/>
    <n v="2"/>
    <n v="295"/>
    <n v="22"/>
    <n v="22"/>
    <n v="4285464"/>
    <x v="377"/>
    <d v="1899-12-31T00:00:00"/>
    <n v="447"/>
    <x v="0"/>
    <n v="4"/>
    <x v="8"/>
    <x v="0"/>
    <s v="Opportunity #380"/>
    <n v="260"/>
    <n v="2"/>
    <x v="1"/>
    <x v="0"/>
    <x v="0"/>
    <x v="21"/>
    <x v="1"/>
    <x v="0"/>
    <x v="0"/>
    <s v="White-tax"/>
    <s v="Central"/>
    <x v="1"/>
    <n v="0"/>
    <n v="0.5"/>
  </r>
  <r>
    <d v="2015-12-31T10:59:00"/>
    <n v="381"/>
    <n v="1"/>
    <n v="223"/>
    <n v="22"/>
    <n v="3"/>
    <n v="4249685"/>
    <x v="378"/>
    <d v="1899-12-31T00:00:00"/>
    <n v="395"/>
    <x v="0"/>
    <n v="12"/>
    <x v="6"/>
    <x v="0"/>
    <s v="Opportunity #381"/>
    <n v="257"/>
    <n v="2"/>
    <x v="1"/>
    <x v="0"/>
    <x v="13"/>
    <x v="21"/>
    <x v="1"/>
    <x v="1"/>
    <x v="1"/>
    <s v="Kay-drill"/>
    <s v="Central"/>
    <x v="1"/>
    <n v="0"/>
    <n v="2"/>
  </r>
  <r>
    <d v="2015-06-29T10:59:00"/>
    <n v="382"/>
    <n v="3"/>
    <n v="296"/>
    <n v="22"/>
    <n v="7"/>
    <n v="740103"/>
    <x v="379"/>
    <d v="1899-12-31T00:00:00"/>
    <n v="544"/>
    <x v="0"/>
    <n v="6"/>
    <x v="2"/>
    <x v="1"/>
    <s v="Opportunity #382"/>
    <n v="57"/>
    <n v="1"/>
    <x v="0"/>
    <x v="1"/>
    <x v="15"/>
    <x v="21"/>
    <x v="1"/>
    <x v="2"/>
    <x v="2"/>
    <s v="Newcore"/>
    <s v="East"/>
    <x v="2"/>
    <n v="0"/>
    <n v="4.5"/>
  </r>
  <r>
    <d v="2015-05-16T10:59:00"/>
    <n v="383"/>
    <n v="1"/>
    <n v="297"/>
    <n v="8"/>
    <n v="15"/>
    <n v="8718878"/>
    <x v="380"/>
    <d v="1900-01-06T00:00:00"/>
    <n v="463"/>
    <x v="0"/>
    <n v="5"/>
    <x v="0"/>
    <x v="2"/>
    <s v="Opportunity #383"/>
    <n v="431"/>
    <n v="3"/>
    <x v="2"/>
    <x v="2"/>
    <x v="12"/>
    <x v="7"/>
    <x v="0"/>
    <x v="1"/>
    <x v="1"/>
    <s v="Solotouch"/>
    <s v="East"/>
    <x v="2"/>
    <n v="2.05761316872428E-3"/>
    <n v="0.22222222222222221"/>
  </r>
  <r>
    <d v="2015-06-29T10:59:00"/>
    <n v="384"/>
    <n v="1"/>
    <n v="298"/>
    <n v="22"/>
    <n v="10"/>
    <n v="2386868"/>
    <x v="381"/>
    <d v="1899-12-31T00:00:00"/>
    <n v="454"/>
    <x v="0"/>
    <n v="6"/>
    <x v="2"/>
    <x v="0"/>
    <s v="Opportunity #384"/>
    <n v="159"/>
    <n v="1"/>
    <x v="0"/>
    <x v="0"/>
    <x v="10"/>
    <x v="21"/>
    <x v="1"/>
    <x v="1"/>
    <x v="1"/>
    <s v="Zapholding"/>
    <s v="East"/>
    <x v="2"/>
    <n v="0"/>
    <n v="1"/>
  </r>
  <r>
    <d v="2015-06-29T10:59:00"/>
    <n v="385"/>
    <n v="2"/>
    <n v="299"/>
    <n v="22"/>
    <n v="10"/>
    <n v="4415130"/>
    <x v="382"/>
    <d v="1900-01-08T00:00:00"/>
    <n v="446"/>
    <x v="0"/>
    <n v="6"/>
    <x v="2"/>
    <x v="0"/>
    <s v="Opportunity #385"/>
    <n v="266"/>
    <n v="2"/>
    <x v="1"/>
    <x v="0"/>
    <x v="10"/>
    <x v="21"/>
    <x v="1"/>
    <x v="0"/>
    <x v="0"/>
    <s v="Tamsonace"/>
    <s v="East"/>
    <x v="0"/>
    <n v="0"/>
    <n v="0.5"/>
  </r>
  <r>
    <d v="2015-06-12T10:59:00"/>
    <n v="386"/>
    <n v="1"/>
    <n v="300"/>
    <n v="22"/>
    <n v="23"/>
    <n v="1853211"/>
    <x v="383"/>
    <d v="1900-01-11T00:00:00"/>
    <n v="426"/>
    <x v="0"/>
    <n v="6"/>
    <x v="2"/>
    <x v="0"/>
    <s v="Opportunity #386"/>
    <n v="124"/>
    <n v="1"/>
    <x v="0"/>
    <x v="0"/>
    <x v="19"/>
    <x v="21"/>
    <x v="1"/>
    <x v="1"/>
    <x v="1"/>
    <s v="Zamtrans"/>
    <s v="East"/>
    <x v="0"/>
    <n v="0"/>
    <n v="2"/>
  </r>
  <r>
    <d v="2015-06-29T10:59:00"/>
    <n v="387"/>
    <n v="2"/>
    <n v="246"/>
    <n v="22"/>
    <n v="25"/>
    <n v="4915845"/>
    <x v="384"/>
    <d v="1900-01-16T00:00:00"/>
    <n v="528"/>
    <x v="0"/>
    <n v="6"/>
    <x v="2"/>
    <x v="1"/>
    <s v="Opportunity #387"/>
    <n v="287"/>
    <n v="2"/>
    <x v="1"/>
    <x v="1"/>
    <x v="9"/>
    <x v="21"/>
    <x v="1"/>
    <x v="0"/>
    <x v="0"/>
    <s v="Ozersolcon"/>
    <s v="East"/>
    <x v="0"/>
    <n v="0"/>
    <n v="0.5"/>
  </r>
  <r>
    <d v="2015-06-29T10:59:00"/>
    <n v="388"/>
    <n v="2"/>
    <n v="301"/>
    <n v="22"/>
    <n v="23"/>
    <n v="5672615"/>
    <x v="385"/>
    <d v="1900-01-15T00:00:00"/>
    <n v="529"/>
    <x v="0"/>
    <n v="6"/>
    <x v="2"/>
    <x v="0"/>
    <s v="Opportunity #388"/>
    <n v="327"/>
    <n v="3"/>
    <x v="2"/>
    <x v="0"/>
    <x v="19"/>
    <x v="21"/>
    <x v="1"/>
    <x v="0"/>
    <x v="0"/>
    <s v="Latcorporation"/>
    <s v="West"/>
    <x v="2"/>
    <n v="0"/>
    <n v="1"/>
  </r>
  <r>
    <d v="2015-06-29T10:59:00"/>
    <n v="389"/>
    <n v="2"/>
    <n v="302"/>
    <n v="22"/>
    <n v="14"/>
    <n v="3085396"/>
    <x v="386"/>
    <d v="1900-01-16T00:00:00"/>
    <n v="438"/>
    <x v="0"/>
    <n v="6"/>
    <x v="2"/>
    <x v="0"/>
    <s v="Opportunity #389"/>
    <n v="187"/>
    <n v="2"/>
    <x v="1"/>
    <x v="0"/>
    <x v="23"/>
    <x v="21"/>
    <x v="1"/>
    <x v="0"/>
    <x v="0"/>
    <s v="Damfase"/>
    <s v="West"/>
    <x v="0"/>
    <n v="0"/>
    <n v="1"/>
  </r>
  <r>
    <d v="2015-06-12T10:59:00"/>
    <n v="390"/>
    <n v="1"/>
    <n v="303"/>
    <n v="22"/>
    <n v="25"/>
    <n v="5460728"/>
    <x v="387"/>
    <d v="1899-12-31T00:00:00"/>
    <n v="376"/>
    <x v="0"/>
    <n v="6"/>
    <x v="2"/>
    <x v="1"/>
    <s v="Opportunity #390"/>
    <n v="319"/>
    <n v="2"/>
    <x v="1"/>
    <x v="1"/>
    <x v="9"/>
    <x v="21"/>
    <x v="1"/>
    <x v="1"/>
    <x v="1"/>
    <s v="Trustplex"/>
    <s v="East"/>
    <x v="0"/>
    <n v="0"/>
    <n v="2"/>
  </r>
  <r>
    <d v="2015-06-12T10:59:00"/>
    <n v="391"/>
    <n v="1"/>
    <n v="304"/>
    <n v="55"/>
    <n v="7"/>
    <n v="972039"/>
    <x v="388"/>
    <d v="1900-01-08T00:00:00"/>
    <n v="368"/>
    <x v="0"/>
    <n v="6"/>
    <x v="2"/>
    <x v="1"/>
    <s v="Opportunity #391"/>
    <n v="72"/>
    <n v="1"/>
    <x v="0"/>
    <x v="1"/>
    <x v="15"/>
    <x v="53"/>
    <x v="0"/>
    <x v="1"/>
    <x v="1"/>
    <s v="Zaamtex"/>
    <s v="East"/>
    <x v="0"/>
    <n v="2.05761316872428E-3"/>
    <n v="1"/>
  </r>
  <r>
    <d v="2015-12-31T10:59:00"/>
    <n v="392"/>
    <n v="1"/>
    <n v="305"/>
    <n v="22"/>
    <n v="11"/>
    <n v="65932"/>
    <x v="389"/>
    <d v="1900-01-24T00:00:00"/>
    <n v="401"/>
    <x v="0"/>
    <n v="12"/>
    <x v="6"/>
    <x v="1"/>
    <s v="Opportunity #392"/>
    <n v="6"/>
    <n v="1"/>
    <x v="0"/>
    <x v="1"/>
    <x v="16"/>
    <x v="21"/>
    <x v="1"/>
    <x v="1"/>
    <x v="1"/>
    <s v="Indifix"/>
    <s v="Central"/>
    <x v="0"/>
    <n v="0"/>
    <n v="1"/>
  </r>
  <r>
    <d v="2015-06-30T10:59:00"/>
    <n v="393"/>
    <n v="1"/>
    <n v="306"/>
    <n v="22"/>
    <n v="4"/>
    <n v="3412054"/>
    <x v="390"/>
    <d v="1900-01-07T00:00:00"/>
    <n v="387"/>
    <x v="0"/>
    <n v="6"/>
    <x v="2"/>
    <x v="0"/>
    <s v="Opportunity #393"/>
    <n v="210"/>
    <n v="2"/>
    <x v="1"/>
    <x v="0"/>
    <x v="24"/>
    <x v="21"/>
    <x v="1"/>
    <x v="1"/>
    <x v="1"/>
    <s v="Fasetax"/>
    <s v="East"/>
    <x v="2"/>
    <n v="0"/>
    <n v="1"/>
  </r>
  <r>
    <d v="2015-06-30T10:59:00"/>
    <n v="394"/>
    <n v="1"/>
    <n v="307"/>
    <n v="22"/>
    <n v="11"/>
    <n v="5981812"/>
    <x v="391"/>
    <d v="1899-12-31T00:00:00"/>
    <n v="394"/>
    <x v="0"/>
    <n v="6"/>
    <x v="2"/>
    <x v="1"/>
    <s v="Opportunity #394"/>
    <n v="342"/>
    <n v="3"/>
    <x v="2"/>
    <x v="1"/>
    <x v="16"/>
    <x v="21"/>
    <x v="1"/>
    <x v="1"/>
    <x v="1"/>
    <s v="Unizunbam"/>
    <s v="East"/>
    <x v="2"/>
    <n v="0"/>
    <n v="1"/>
  </r>
  <r>
    <d v="2015-06-24T10:59:00"/>
    <n v="395"/>
    <n v="1"/>
    <n v="308"/>
    <n v="22"/>
    <n v="21"/>
    <n v="4022403"/>
    <x v="392"/>
    <d v="1900-01-06T00:00:00"/>
    <n v="413"/>
    <x v="0"/>
    <n v="6"/>
    <x v="2"/>
    <x v="0"/>
    <s v="Opportunity #395"/>
    <n v="245"/>
    <n v="2"/>
    <x v="1"/>
    <x v="0"/>
    <x v="14"/>
    <x v="21"/>
    <x v="1"/>
    <x v="1"/>
    <x v="1"/>
    <s v="Domquote"/>
    <s v="East"/>
    <x v="2"/>
    <n v="0"/>
    <n v="1"/>
  </r>
  <r>
    <d v="2015-05-28T10:59:00"/>
    <n v="396"/>
    <n v="1"/>
    <n v="309"/>
    <n v="22"/>
    <n v="11"/>
    <n v="657213"/>
    <x v="393"/>
    <d v="1900-01-07T00:00:00"/>
    <n v="446"/>
    <x v="0"/>
    <n v="5"/>
    <x v="0"/>
    <x v="0"/>
    <s v="Opportunity #396"/>
    <n v="51"/>
    <n v="1"/>
    <x v="0"/>
    <x v="0"/>
    <x v="16"/>
    <x v="21"/>
    <x v="1"/>
    <x v="1"/>
    <x v="1"/>
    <s v="Whitecon"/>
    <s v="East"/>
    <x v="0"/>
    <n v="0"/>
    <n v="1"/>
  </r>
  <r>
    <d v="2015-04-13T10:59:00"/>
    <n v="397"/>
    <n v="4"/>
    <n v="310"/>
    <n v="22"/>
    <n v="15"/>
    <n v="5952410"/>
    <x v="394"/>
    <d v="1900-01-06T00:00:00"/>
    <n v="461"/>
    <x v="0"/>
    <n v="4"/>
    <x v="8"/>
    <x v="1"/>
    <s v="Opportunity #397"/>
    <n v="340"/>
    <n v="3"/>
    <x v="2"/>
    <x v="1"/>
    <x v="12"/>
    <x v="21"/>
    <x v="1"/>
    <x v="3"/>
    <x v="3"/>
    <s v="Beta-corporation"/>
    <s v="East"/>
    <x v="2"/>
    <n v="0"/>
    <n v="14"/>
  </r>
  <r>
    <d v="2015-05-28T10:59:00"/>
    <n v="398"/>
    <n v="1"/>
    <n v="311"/>
    <n v="22"/>
    <n v="2"/>
    <n v="5022767"/>
    <x v="395"/>
    <d v="1899-12-31T00:00:00"/>
    <n v="422"/>
    <x v="0"/>
    <n v="5"/>
    <x v="0"/>
    <x v="0"/>
    <s v="Opportunity #398"/>
    <n v="296"/>
    <n v="2"/>
    <x v="1"/>
    <x v="0"/>
    <x v="17"/>
    <x v="21"/>
    <x v="1"/>
    <x v="1"/>
    <x v="1"/>
    <s v="Codeunajob"/>
    <s v="East"/>
    <x v="0"/>
    <n v="0"/>
    <n v="7.1428571428571425E-2"/>
  </r>
  <r>
    <d v="2015-02-27T10:59:00"/>
    <n v="399"/>
    <n v="3"/>
    <n v="312"/>
    <n v="84"/>
    <n v="2"/>
    <n v="5064488"/>
    <x v="396"/>
    <d v="1900-01-25T00:00:00"/>
    <n v="366"/>
    <x v="0"/>
    <n v="2"/>
    <x v="7"/>
    <x v="2"/>
    <s v="Opportunity #399"/>
    <n v="299"/>
    <n v="2"/>
    <x v="1"/>
    <x v="2"/>
    <x v="17"/>
    <x v="82"/>
    <x v="0"/>
    <x v="2"/>
    <x v="2"/>
    <s v="Duocane"/>
    <s v="East"/>
    <x v="1"/>
    <n v="2.05761316872428E-3"/>
    <n v="4.5"/>
  </r>
  <r>
    <d v="2015-01-23T10:59:00"/>
    <n v="400"/>
    <n v="5"/>
    <n v="313"/>
    <n v="22"/>
    <n v="5"/>
    <n v="3546375"/>
    <x v="397"/>
    <d v="1900-01-09T00:00:00"/>
    <n v="378"/>
    <x v="0"/>
    <n v="1"/>
    <x v="9"/>
    <x v="1"/>
    <s v="Opportunity #400"/>
    <n v="218"/>
    <n v="2"/>
    <x v="1"/>
    <x v="1"/>
    <x v="6"/>
    <x v="21"/>
    <x v="1"/>
    <x v="4"/>
    <x v="4"/>
    <s v="Alphadexon"/>
    <s v="West"/>
    <x v="0"/>
    <n v="0"/>
    <n v="6"/>
  </r>
  <r>
    <d v="2015-12-31T10:59:00"/>
    <n v="401"/>
    <n v="1"/>
    <n v="314"/>
    <n v="85"/>
    <n v="12"/>
    <n v="8018865"/>
    <x v="398"/>
    <d v="1900-01-06T00:00:00"/>
    <n v="511"/>
    <x v="0"/>
    <n v="12"/>
    <x v="6"/>
    <x v="1"/>
    <s v="Opportunity #401"/>
    <n v="415"/>
    <n v="3"/>
    <x v="2"/>
    <x v="1"/>
    <x v="5"/>
    <x v="83"/>
    <x v="0"/>
    <x v="1"/>
    <x v="1"/>
    <s v="Planettone"/>
    <s v="West"/>
    <x v="1"/>
    <n v="2.05761316872428E-3"/>
    <n v="3.7037037037037035E-2"/>
  </r>
  <r>
    <d v="2015-05-31T10:59:00"/>
    <n v="402"/>
    <n v="3"/>
    <n v="239"/>
    <n v="22"/>
    <n v="21"/>
    <n v="124644"/>
    <x v="399"/>
    <d v="1900-01-21T00:00:00"/>
    <n v="404"/>
    <x v="0"/>
    <n v="5"/>
    <x v="0"/>
    <x v="1"/>
    <s v="Opportunity #402"/>
    <n v="15"/>
    <n v="1"/>
    <x v="0"/>
    <x v="1"/>
    <x v="14"/>
    <x v="21"/>
    <x v="1"/>
    <x v="2"/>
    <x v="2"/>
    <s v="statzim"/>
    <s v="East"/>
    <x v="0"/>
    <n v="0"/>
    <n v="4.5"/>
  </r>
  <r>
    <d v="2015-03-31T10:59:00"/>
    <n v="403"/>
    <n v="1"/>
    <n v="315"/>
    <n v="86"/>
    <n v="24"/>
    <n v="5904717"/>
    <x v="400"/>
    <d v="1900-01-23T00:00:00"/>
    <n v="400"/>
    <x v="0"/>
    <n v="3"/>
    <x v="10"/>
    <x v="0"/>
    <s v="Opportunity #403"/>
    <n v="335"/>
    <n v="3"/>
    <x v="2"/>
    <x v="0"/>
    <x v="8"/>
    <x v="84"/>
    <x v="0"/>
    <x v="1"/>
    <x v="1"/>
    <s v="zerplanet"/>
    <s v="East"/>
    <x v="1"/>
    <n v="2.05761316872428E-3"/>
    <n v="0.22222222222222221"/>
  </r>
  <r>
    <d v="2015-06-30T10:59:00"/>
    <n v="404"/>
    <n v="1"/>
    <n v="170"/>
    <n v="22"/>
    <n v="11"/>
    <n v="833461"/>
    <x v="401"/>
    <d v="1900-01-22T00:00:00"/>
    <n v="464"/>
    <x v="0"/>
    <n v="6"/>
    <x v="2"/>
    <x v="1"/>
    <s v="Opportunity #404"/>
    <n v="62"/>
    <n v="1"/>
    <x v="0"/>
    <x v="1"/>
    <x v="16"/>
    <x v="21"/>
    <x v="1"/>
    <x v="1"/>
    <x v="1"/>
    <s v="Dentocity"/>
    <s v="East"/>
    <x v="2"/>
    <n v="0"/>
    <n v="1"/>
  </r>
  <r>
    <d v="2015-06-30T10:59:00"/>
    <n v="405"/>
    <n v="3"/>
    <n v="316"/>
    <n v="22"/>
    <n v="9"/>
    <n v="8286539"/>
    <x v="402"/>
    <d v="1900-01-14T00:00:00"/>
    <n v="441"/>
    <x v="0"/>
    <n v="6"/>
    <x v="2"/>
    <x v="2"/>
    <s v="Opportunity #405"/>
    <n v="422"/>
    <n v="3"/>
    <x v="2"/>
    <x v="2"/>
    <x v="7"/>
    <x v="21"/>
    <x v="1"/>
    <x v="2"/>
    <x v="2"/>
    <s v="Doublecon"/>
    <s v="East"/>
    <x v="0"/>
    <n v="0"/>
    <n v="4.5"/>
  </r>
  <r>
    <d v="2015-12-31T10:59:00"/>
    <n v="406"/>
    <n v="1"/>
    <n v="317"/>
    <n v="54"/>
    <n v="17"/>
    <n v="9192164"/>
    <x v="403"/>
    <d v="1900-01-09T00:00:00"/>
    <n v="386"/>
    <x v="0"/>
    <n v="12"/>
    <x v="6"/>
    <x v="2"/>
    <s v="Opportunity #406"/>
    <n v="445"/>
    <n v="3"/>
    <x v="2"/>
    <x v="2"/>
    <x v="20"/>
    <x v="28"/>
    <x v="0"/>
    <x v="1"/>
    <x v="1"/>
    <s v="Zathlux"/>
    <s v="East"/>
    <x v="1"/>
    <n v="2.05761316872428E-3"/>
    <n v="0.22222222222222221"/>
  </r>
  <r>
    <d v="2015-12-31T10:59:00"/>
    <n v="407"/>
    <n v="1"/>
    <n v="318"/>
    <n v="22"/>
    <n v="23"/>
    <n v="495875"/>
    <x v="404"/>
    <d v="1900-01-08T00:00:00"/>
    <n v="387"/>
    <x v="0"/>
    <n v="12"/>
    <x v="6"/>
    <x v="0"/>
    <s v="Opportunity #407"/>
    <n v="41"/>
    <n v="1"/>
    <x v="0"/>
    <x v="0"/>
    <x v="19"/>
    <x v="21"/>
    <x v="1"/>
    <x v="1"/>
    <x v="1"/>
    <s v="Rankice"/>
    <s v="East"/>
    <x v="1"/>
    <n v="0"/>
    <n v="1"/>
  </r>
  <r>
    <d v="2015-12-31T10:59:00"/>
    <n v="408"/>
    <n v="1"/>
    <n v="319"/>
    <n v="22"/>
    <n v="7"/>
    <n v="4826813"/>
    <x v="405"/>
    <d v="1900-01-04T00:00:00"/>
    <n v="725"/>
    <x v="0"/>
    <n v="12"/>
    <x v="6"/>
    <x v="1"/>
    <s v="Opportunity #408"/>
    <n v="283"/>
    <n v="2"/>
    <x v="1"/>
    <x v="1"/>
    <x v="15"/>
    <x v="21"/>
    <x v="1"/>
    <x v="1"/>
    <x v="1"/>
    <s v="ventohow"/>
    <s v="East"/>
    <x v="1"/>
    <n v="0"/>
    <n v="1"/>
  </r>
  <r>
    <d v="2015-12-31T10:59:00"/>
    <n v="409"/>
    <n v="1"/>
    <n v="320"/>
    <n v="22"/>
    <n v="5"/>
    <n v="5007213"/>
    <x v="406"/>
    <d v="1900-01-25T00:00:00"/>
    <n v="400"/>
    <x v="0"/>
    <n v="12"/>
    <x v="6"/>
    <x v="0"/>
    <s v="Opportunity #409"/>
    <n v="295"/>
    <n v="2"/>
    <x v="1"/>
    <x v="0"/>
    <x v="6"/>
    <x v="21"/>
    <x v="1"/>
    <x v="1"/>
    <x v="1"/>
    <s v="Joylux"/>
    <s v="Central"/>
    <x v="1"/>
    <n v="0"/>
    <n v="1"/>
  </r>
  <r>
    <d v="2015-10-31T10:59:00"/>
    <n v="410"/>
    <n v="1"/>
    <n v="321"/>
    <n v="87"/>
    <n v="12"/>
    <n v="11473089"/>
    <x v="407"/>
    <d v="1900-01-11T00:00:00"/>
    <n v="476"/>
    <x v="0"/>
    <n v="10"/>
    <x v="3"/>
    <x v="0"/>
    <s v="Opportunity #410"/>
    <n v="479"/>
    <n v="3"/>
    <x v="2"/>
    <x v="0"/>
    <x v="5"/>
    <x v="85"/>
    <x v="0"/>
    <x v="1"/>
    <x v="1"/>
    <s v="Rancan"/>
    <s v="Central"/>
    <x v="0"/>
    <n v="2.05761316872428E-3"/>
    <n v="1"/>
  </r>
  <r>
    <d v="2015-11-30T10:59:00"/>
    <n v="411"/>
    <n v="1"/>
    <n v="110"/>
    <n v="22"/>
    <n v="2"/>
    <n v="6949790"/>
    <x v="408"/>
    <d v="1900-01-10T00:00:00"/>
    <n v="568"/>
    <x v="0"/>
    <n v="11"/>
    <x v="4"/>
    <x v="0"/>
    <s v="Opportunity #411"/>
    <n v="382"/>
    <n v="3"/>
    <x v="2"/>
    <x v="0"/>
    <x v="17"/>
    <x v="21"/>
    <x v="1"/>
    <x v="1"/>
    <x v="1"/>
    <s v="sanstrip"/>
    <s v="West"/>
    <x v="0"/>
    <n v="0"/>
    <n v="1"/>
  </r>
  <r>
    <d v="2015-01-07T10:59:00"/>
    <n v="412"/>
    <n v="4"/>
    <n v="322"/>
    <n v="87"/>
    <n v="22"/>
    <n v="3184707"/>
    <x v="409"/>
    <d v="1900-01-02T00:00:00"/>
    <n v="369"/>
    <x v="0"/>
    <n v="1"/>
    <x v="9"/>
    <x v="0"/>
    <s v="Opportunity #412"/>
    <n v="194"/>
    <n v="2"/>
    <x v="1"/>
    <x v="0"/>
    <x v="0"/>
    <x v="85"/>
    <x v="0"/>
    <x v="3"/>
    <x v="3"/>
    <s v="Geojob"/>
    <s v="Central"/>
    <x v="2"/>
    <n v="2.05761316872428E-3"/>
    <n v="14"/>
  </r>
  <r>
    <d v="2015-06-30T10:59:00"/>
    <n v="413"/>
    <n v="3"/>
    <n v="220"/>
    <n v="22"/>
    <n v="8"/>
    <n v="1286738"/>
    <x v="410"/>
    <d v="1900-01-05T00:00:00"/>
    <n v="540"/>
    <x v="0"/>
    <n v="6"/>
    <x v="2"/>
    <x v="0"/>
    <s v="Opportunity #413"/>
    <n v="86"/>
    <n v="1"/>
    <x v="0"/>
    <x v="0"/>
    <x v="18"/>
    <x v="21"/>
    <x v="1"/>
    <x v="2"/>
    <x v="2"/>
    <s v="E-tax"/>
    <s v="East"/>
    <x v="0"/>
    <n v="0"/>
    <n v="0.32142857142857145"/>
  </r>
  <r>
    <d v="2015-06-30T10:59:00"/>
    <n v="414"/>
    <n v="1"/>
    <n v="323"/>
    <n v="22"/>
    <n v="23"/>
    <n v="5299231"/>
    <x v="411"/>
    <d v="1900-01-24T00:00:00"/>
    <n v="431"/>
    <x v="0"/>
    <n v="6"/>
    <x v="2"/>
    <x v="1"/>
    <s v="Opportunity #414"/>
    <n v="311"/>
    <n v="2"/>
    <x v="1"/>
    <x v="1"/>
    <x v="19"/>
    <x v="21"/>
    <x v="1"/>
    <x v="1"/>
    <x v="1"/>
    <s v="plexholding"/>
    <s v="West"/>
    <x v="2"/>
    <n v="0"/>
    <n v="0.22222222222222221"/>
  </r>
  <r>
    <d v="2015-11-30T10:59:00"/>
    <n v="415"/>
    <n v="1"/>
    <n v="324"/>
    <n v="22"/>
    <n v="18"/>
    <n v="648356"/>
    <x v="412"/>
    <d v="1900-01-28T00:00:00"/>
    <n v="519"/>
    <x v="0"/>
    <n v="11"/>
    <x v="4"/>
    <x v="0"/>
    <s v="Opportunity #415"/>
    <n v="50"/>
    <n v="1"/>
    <x v="0"/>
    <x v="0"/>
    <x v="3"/>
    <x v="21"/>
    <x v="1"/>
    <x v="1"/>
    <x v="1"/>
    <s v="Indicore"/>
    <s v="Central"/>
    <x v="0"/>
    <n v="0"/>
    <n v="1"/>
  </r>
  <r>
    <d v="2015-05-15T10:59:00"/>
    <n v="416"/>
    <n v="1"/>
    <n v="325"/>
    <n v="87"/>
    <n v="2"/>
    <n v="4254833"/>
    <x v="413"/>
    <d v="1900-01-08T00:00:00"/>
    <n v="371"/>
    <x v="0"/>
    <n v="5"/>
    <x v="0"/>
    <x v="0"/>
    <s v="Opportunity #416"/>
    <n v="258"/>
    <n v="2"/>
    <x v="1"/>
    <x v="0"/>
    <x v="17"/>
    <x v="85"/>
    <x v="0"/>
    <x v="1"/>
    <x v="1"/>
    <s v="Fasekeydax"/>
    <s v="Central"/>
    <x v="0"/>
    <n v="2.05761316872428E-3"/>
    <n v="1"/>
  </r>
  <r>
    <d v="2015-06-19T10:59:00"/>
    <n v="417"/>
    <n v="1"/>
    <n v="326"/>
    <n v="22"/>
    <n v="13"/>
    <n v="931923"/>
    <x v="414"/>
    <d v="1900-01-02T00:00:00"/>
    <n v="473"/>
    <x v="0"/>
    <n v="6"/>
    <x v="2"/>
    <x v="1"/>
    <s v="Opportunity #417"/>
    <n v="67"/>
    <n v="1"/>
    <x v="0"/>
    <x v="1"/>
    <x v="21"/>
    <x v="21"/>
    <x v="1"/>
    <x v="1"/>
    <x v="1"/>
    <s v="Tanhow"/>
    <s v="East"/>
    <x v="2"/>
    <n v="0"/>
    <n v="1"/>
  </r>
  <r>
    <d v="2015-06-30T10:59:00"/>
    <n v="418"/>
    <n v="1"/>
    <n v="11"/>
    <n v="22"/>
    <n v="17"/>
    <n v="1133172"/>
    <x v="415"/>
    <d v="1900-01-15T00:00:00"/>
    <n v="410"/>
    <x v="0"/>
    <n v="6"/>
    <x v="2"/>
    <x v="1"/>
    <s v="Opportunity #418"/>
    <n v="79"/>
    <n v="1"/>
    <x v="0"/>
    <x v="1"/>
    <x v="20"/>
    <x v="21"/>
    <x v="1"/>
    <x v="1"/>
    <x v="1"/>
    <s v="zumplus"/>
    <s v="East"/>
    <x v="0"/>
    <n v="0"/>
    <n v="1"/>
  </r>
  <r>
    <d v="2015-12-31T10:59:00"/>
    <n v="419"/>
    <n v="1"/>
    <n v="327"/>
    <n v="88"/>
    <n v="3"/>
    <n v="397544"/>
    <x v="416"/>
    <d v="1900-01-06T00:00:00"/>
    <n v="692"/>
    <x v="0"/>
    <n v="12"/>
    <x v="6"/>
    <x v="1"/>
    <s v="Opportunity #419"/>
    <n v="36"/>
    <n v="1"/>
    <x v="0"/>
    <x v="1"/>
    <x v="13"/>
    <x v="86"/>
    <x v="0"/>
    <x v="1"/>
    <x v="1"/>
    <s v="Hatity"/>
    <s v="Central"/>
    <x v="1"/>
    <n v="2.05761316872428E-3"/>
    <n v="1"/>
  </r>
  <r>
    <d v="2015-05-29T10:59:00"/>
    <n v="420"/>
    <n v="1"/>
    <n v="328"/>
    <n v="22"/>
    <n v="18"/>
    <n v="4087361"/>
    <x v="417"/>
    <d v="1900-01-07T00:00:00"/>
    <n v="416"/>
    <x v="0"/>
    <n v="5"/>
    <x v="0"/>
    <x v="2"/>
    <s v="Opportunity #420"/>
    <n v="250"/>
    <n v="2"/>
    <x v="1"/>
    <x v="2"/>
    <x v="3"/>
    <x v="21"/>
    <x v="1"/>
    <x v="1"/>
    <x v="1"/>
    <s v="K-zoom"/>
    <s v="West"/>
    <x v="2"/>
    <n v="0"/>
    <n v="1"/>
  </r>
  <r>
    <d v="2015-03-31T10:59:00"/>
    <n v="421"/>
    <n v="4"/>
    <n v="42"/>
    <n v="22"/>
    <n v="20"/>
    <n v="2317660"/>
    <x v="418"/>
    <d v="1900-01-22T00:00:00"/>
    <n v="432"/>
    <x v="0"/>
    <n v="3"/>
    <x v="10"/>
    <x v="1"/>
    <s v="Opportunity #421"/>
    <n v="154"/>
    <n v="1"/>
    <x v="0"/>
    <x v="1"/>
    <x v="11"/>
    <x v="21"/>
    <x v="1"/>
    <x v="3"/>
    <x v="3"/>
    <s v="Betaity"/>
    <s v="East"/>
    <x v="0"/>
    <n v="0"/>
    <n v="14"/>
  </r>
  <r>
    <d v="2015-03-27T10:59:00"/>
    <n v="422"/>
    <n v="3"/>
    <n v="100"/>
    <n v="22"/>
    <n v="23"/>
    <n v="4654747"/>
    <x v="419"/>
    <d v="1900-01-04T00:00:00"/>
    <n v="415"/>
    <x v="0"/>
    <n v="3"/>
    <x v="10"/>
    <x v="2"/>
    <s v="Opportunity #422"/>
    <n v="275"/>
    <n v="2"/>
    <x v="1"/>
    <x v="2"/>
    <x v="19"/>
    <x v="21"/>
    <x v="1"/>
    <x v="2"/>
    <x v="2"/>
    <s v="Tanflex"/>
    <s v="Central"/>
    <x v="0"/>
    <n v="0"/>
    <n v="0.32142857142857145"/>
  </r>
  <r>
    <d v="2015-03-27T10:59:00"/>
    <n v="423"/>
    <n v="3"/>
    <n v="69"/>
    <n v="22"/>
    <n v="19"/>
    <n v="2172080"/>
    <x v="420"/>
    <d v="1900-01-24T00:00:00"/>
    <n v="367"/>
    <x v="0"/>
    <n v="3"/>
    <x v="10"/>
    <x v="1"/>
    <s v="Opportunity #423"/>
    <n v="144"/>
    <n v="1"/>
    <x v="0"/>
    <x v="1"/>
    <x v="1"/>
    <x v="21"/>
    <x v="1"/>
    <x v="2"/>
    <x v="2"/>
    <s v="Goodplex"/>
    <s v="Central"/>
    <x v="0"/>
    <n v="0"/>
    <n v="1"/>
  </r>
  <r>
    <d v="2015-05-13T10:59:00"/>
    <n v="424"/>
    <n v="1"/>
    <n v="26"/>
    <n v="22"/>
    <n v="3"/>
    <n v="4226438"/>
    <x v="421"/>
    <d v="1900-01-09T00:00:00"/>
    <n v="488"/>
    <x v="0"/>
    <n v="5"/>
    <x v="0"/>
    <x v="1"/>
    <s v="Opportunity #424"/>
    <n v="256"/>
    <n v="2"/>
    <x v="1"/>
    <x v="1"/>
    <x v="13"/>
    <x v="21"/>
    <x v="1"/>
    <x v="1"/>
    <x v="1"/>
    <s v="Zummaline"/>
    <s v="Central"/>
    <x v="0"/>
    <n v="0"/>
    <n v="0.22222222222222221"/>
  </r>
  <r>
    <d v="2015-06-26T10:59:00"/>
    <n v="425"/>
    <n v="1"/>
    <n v="52"/>
    <n v="22"/>
    <n v="9"/>
    <n v="1959131"/>
    <x v="422"/>
    <d v="1900-01-21T00:00:00"/>
    <n v="369"/>
    <x v="0"/>
    <n v="6"/>
    <x v="2"/>
    <x v="1"/>
    <s v="Opportunity #425"/>
    <n v="133"/>
    <n v="1"/>
    <x v="0"/>
    <x v="1"/>
    <x v="7"/>
    <x v="21"/>
    <x v="1"/>
    <x v="1"/>
    <x v="1"/>
    <s v="Statcom"/>
    <s v="Central"/>
    <x v="0"/>
    <n v="0"/>
    <n v="1"/>
  </r>
  <r>
    <d v="2015-06-01T19:06:37"/>
    <n v="426"/>
    <n v="2"/>
    <n v="52"/>
    <n v="89"/>
    <n v="9"/>
    <n v="3107233"/>
    <x v="423"/>
    <d v="1899-12-31T00:00:00"/>
    <n v="458"/>
    <x v="0"/>
    <n v="6"/>
    <x v="2"/>
    <x v="1"/>
    <s v="Opportunity #426"/>
    <n v="188"/>
    <n v="2"/>
    <x v="1"/>
    <x v="1"/>
    <x v="7"/>
    <x v="87"/>
    <x v="0"/>
    <x v="0"/>
    <x v="0"/>
    <s v="Statcom"/>
    <s v="Central"/>
    <x v="0"/>
    <n v="2.05761316872428E-3"/>
    <n v="0.5"/>
  </r>
  <r>
    <d v="2015-05-22T10:59:00"/>
    <n v="427"/>
    <n v="1"/>
    <n v="238"/>
    <n v="22"/>
    <n v="12"/>
    <n v="3152735"/>
    <x v="424"/>
    <d v="1900-01-21T00:00:00"/>
    <n v="395"/>
    <x v="0"/>
    <n v="5"/>
    <x v="0"/>
    <x v="1"/>
    <s v="Opportunity #427"/>
    <n v="191"/>
    <n v="2"/>
    <x v="1"/>
    <x v="1"/>
    <x v="5"/>
    <x v="21"/>
    <x v="1"/>
    <x v="1"/>
    <x v="1"/>
    <s v="Ware-core"/>
    <s v="Central"/>
    <x v="0"/>
    <n v="0"/>
    <n v="2"/>
  </r>
  <r>
    <d v="2015-11-30T10:59:00"/>
    <n v="428"/>
    <n v="1"/>
    <n v="329"/>
    <n v="90"/>
    <n v="2"/>
    <n v="11888801"/>
    <x v="425"/>
    <d v="1900-01-08T00:00:00"/>
    <n v="690"/>
    <x v="0"/>
    <n v="11"/>
    <x v="4"/>
    <x v="0"/>
    <s v="Opportunity #428"/>
    <n v="483"/>
    <n v="3"/>
    <x v="2"/>
    <x v="0"/>
    <x v="17"/>
    <x v="88"/>
    <x v="0"/>
    <x v="1"/>
    <x v="1"/>
    <s v="Volelectrics"/>
    <s v="West"/>
    <x v="2"/>
    <n v="2.05761316872428E-3"/>
    <n v="1"/>
  </r>
  <r>
    <d v="2015-04-30T10:59:00"/>
    <n v="429"/>
    <n v="2"/>
    <n v="330"/>
    <n v="22"/>
    <n v="17"/>
    <n v="3718538"/>
    <x v="426"/>
    <d v="1900-01-12T00:00:00"/>
    <n v="382"/>
    <x v="0"/>
    <n v="4"/>
    <x v="8"/>
    <x v="1"/>
    <s v="Opportunity #429"/>
    <n v="230"/>
    <n v="2"/>
    <x v="1"/>
    <x v="1"/>
    <x v="20"/>
    <x v="21"/>
    <x v="1"/>
    <x v="0"/>
    <x v="0"/>
    <s v="Donzozing"/>
    <s v="East"/>
    <x v="0"/>
    <n v="0"/>
    <n v="0.5"/>
  </r>
  <r>
    <d v="2015-02-27T10:59:00"/>
    <n v="430"/>
    <n v="3"/>
    <n v="331"/>
    <n v="22"/>
    <n v="25"/>
    <n v="85763"/>
    <x v="427"/>
    <d v="1900-01-25T00:00:00"/>
    <n v="366"/>
    <x v="0"/>
    <n v="2"/>
    <x v="7"/>
    <x v="1"/>
    <s v="Opportunity #430"/>
    <n v="10"/>
    <n v="1"/>
    <x v="0"/>
    <x v="1"/>
    <x v="9"/>
    <x v="21"/>
    <x v="1"/>
    <x v="2"/>
    <x v="2"/>
    <s v="Vivatouch"/>
    <s v="East"/>
    <x v="2"/>
    <n v="0"/>
    <n v="9"/>
  </r>
  <r>
    <d v="2015-02-27T10:59:00"/>
    <n v="431"/>
    <n v="4"/>
    <n v="125"/>
    <n v="91"/>
    <n v="7"/>
    <n v="1624483"/>
    <x v="428"/>
    <d v="1900-01-22T00:00:00"/>
    <n v="369"/>
    <x v="0"/>
    <n v="2"/>
    <x v="7"/>
    <x v="0"/>
    <s v="Opportunity #431"/>
    <n v="109"/>
    <n v="1"/>
    <x v="0"/>
    <x v="0"/>
    <x v="15"/>
    <x v="89"/>
    <x v="0"/>
    <x v="3"/>
    <x v="3"/>
    <s v="Silvertrans"/>
    <s v="Central"/>
    <x v="2"/>
    <n v="2.05761316872428E-3"/>
    <n v="3.1111111111111112"/>
  </r>
  <r>
    <d v="2015-05-29T10:59:00"/>
    <n v="432"/>
    <n v="1"/>
    <n v="188"/>
    <n v="22"/>
    <n v="6"/>
    <n v="2599414"/>
    <x v="429"/>
    <d v="1900-01-20T00:00:00"/>
    <n v="493"/>
    <x v="0"/>
    <n v="5"/>
    <x v="0"/>
    <x v="0"/>
    <s v="Opportunity #432"/>
    <n v="170"/>
    <n v="2"/>
    <x v="1"/>
    <x v="0"/>
    <x v="2"/>
    <x v="21"/>
    <x v="1"/>
    <x v="1"/>
    <x v="1"/>
    <s v="Geoity"/>
    <s v="East"/>
    <x v="0"/>
    <n v="0"/>
    <n v="7.1428571428571425E-2"/>
  </r>
  <r>
    <d v="2015-04-30T10:59:00"/>
    <n v="433"/>
    <n v="1"/>
    <n v="282"/>
    <n v="22"/>
    <n v="10"/>
    <n v="200538"/>
    <x v="430"/>
    <d v="1900-01-06T00:00:00"/>
    <n v="447"/>
    <x v="0"/>
    <n v="4"/>
    <x v="8"/>
    <x v="1"/>
    <s v="Opportunity #433"/>
    <n v="23"/>
    <n v="1"/>
    <x v="0"/>
    <x v="1"/>
    <x v="10"/>
    <x v="21"/>
    <x v="1"/>
    <x v="1"/>
    <x v="1"/>
    <s v="Qvodex"/>
    <s v="Central"/>
    <x v="2"/>
    <n v="0"/>
    <n v="1"/>
  </r>
  <r>
    <d v="2015-07-31T08:00:00"/>
    <n v="434"/>
    <n v="1"/>
    <n v="332"/>
    <n v="34"/>
    <n v="24"/>
    <n v="7209096"/>
    <x v="431"/>
    <d v="1900-01-18T00:00:00"/>
    <n v="558"/>
    <x v="0"/>
    <n v="7"/>
    <x v="1"/>
    <x v="1"/>
    <s v="Opportunity #434"/>
    <n v="394"/>
    <n v="3"/>
    <x v="2"/>
    <x v="1"/>
    <x v="8"/>
    <x v="33"/>
    <x v="0"/>
    <x v="1"/>
    <x v="1"/>
    <s v="Zathtechi"/>
    <s v="West"/>
    <x v="1"/>
    <n v="2.05761316872428E-3"/>
    <n v="1"/>
  </r>
  <r>
    <d v="2015-05-22T10:59:00"/>
    <n v="435"/>
    <n v="1"/>
    <n v="139"/>
    <n v="92"/>
    <n v="8"/>
    <n v="4532970"/>
    <x v="432"/>
    <d v="1900-01-06T00:00:00"/>
    <n v="469"/>
    <x v="0"/>
    <n v="5"/>
    <x v="0"/>
    <x v="2"/>
    <s v="Opportunity #435"/>
    <n v="270"/>
    <n v="2"/>
    <x v="1"/>
    <x v="2"/>
    <x v="18"/>
    <x v="90"/>
    <x v="0"/>
    <x v="1"/>
    <x v="1"/>
    <s v="Jaycorporation"/>
    <s v="East"/>
    <x v="2"/>
    <n v="2.05761316872428E-3"/>
    <n v="1"/>
  </r>
  <r>
    <d v="2015-02-14T10:59:00"/>
    <n v="436"/>
    <n v="3"/>
    <n v="333"/>
    <n v="93"/>
    <n v="24"/>
    <n v="668168"/>
    <x v="433"/>
    <d v="1900-01-06T00:00:00"/>
    <n v="372"/>
    <x v="0"/>
    <n v="2"/>
    <x v="7"/>
    <x v="1"/>
    <s v="Opportunity #436"/>
    <n v="53"/>
    <n v="1"/>
    <x v="0"/>
    <x v="1"/>
    <x v="8"/>
    <x v="91"/>
    <x v="0"/>
    <x v="2"/>
    <x v="2"/>
    <s v="K-line"/>
    <s v="Central"/>
    <x v="1"/>
    <n v="2.05761316872428E-3"/>
    <n v="4.5"/>
  </r>
  <r>
    <d v="2015-05-22T10:59:00"/>
    <n v="437"/>
    <n v="3"/>
    <n v="334"/>
    <n v="94"/>
    <n v="6"/>
    <n v="4065683"/>
    <x v="434"/>
    <d v="1900-01-15T00:00:00"/>
    <n v="371"/>
    <x v="0"/>
    <n v="5"/>
    <x v="0"/>
    <x v="0"/>
    <s v="Opportunity #437"/>
    <n v="248"/>
    <n v="2"/>
    <x v="1"/>
    <x v="0"/>
    <x v="2"/>
    <x v="92"/>
    <x v="0"/>
    <x v="2"/>
    <x v="2"/>
    <s v="Gogotrax"/>
    <s v="West"/>
    <x v="2"/>
    <n v="2.05761316872428E-3"/>
    <n v="1"/>
  </r>
  <r>
    <d v="2015-10-31T10:59:00"/>
    <n v="438"/>
    <n v="1"/>
    <n v="335"/>
    <n v="8"/>
    <n v="9"/>
    <n v="9597240"/>
    <x v="435"/>
    <d v="1900-01-23T00:00:00"/>
    <n v="555"/>
    <x v="0"/>
    <n v="10"/>
    <x v="3"/>
    <x v="0"/>
    <s v="Opportunity #438"/>
    <n v="454"/>
    <n v="3"/>
    <x v="2"/>
    <x v="0"/>
    <x v="7"/>
    <x v="7"/>
    <x v="0"/>
    <x v="1"/>
    <x v="1"/>
    <s v="Dentohigh"/>
    <s v="West"/>
    <x v="2"/>
    <n v="2.05761316872428E-3"/>
    <n v="0.22222222222222221"/>
  </r>
  <r>
    <d v="2015-12-31T10:59:00"/>
    <n v="439"/>
    <n v="1"/>
    <n v="336"/>
    <n v="95"/>
    <n v="8"/>
    <n v="4334161"/>
    <x v="436"/>
    <d v="1900-01-14T00:00:00"/>
    <n v="715"/>
    <x v="0"/>
    <n v="12"/>
    <x v="6"/>
    <x v="0"/>
    <s v="Opportunity #439"/>
    <n v="261"/>
    <n v="2"/>
    <x v="1"/>
    <x v="0"/>
    <x v="18"/>
    <x v="93"/>
    <x v="0"/>
    <x v="1"/>
    <x v="1"/>
    <s v="Lotunatrax"/>
    <s v="West"/>
    <x v="1"/>
    <n v="2.05761316872428E-3"/>
    <n v="1"/>
  </r>
  <r>
    <d v="2015-07-31T08:00:00"/>
    <n v="440"/>
    <n v="1"/>
    <n v="337"/>
    <n v="96"/>
    <n v="19"/>
    <n v="5304891"/>
    <x v="437"/>
    <d v="1900-01-17T00:00:00"/>
    <n v="528"/>
    <x v="0"/>
    <n v="7"/>
    <x v="1"/>
    <x v="1"/>
    <s v="Opportunity #440"/>
    <n v="312"/>
    <n v="2"/>
    <x v="1"/>
    <x v="1"/>
    <x v="1"/>
    <x v="94"/>
    <x v="0"/>
    <x v="1"/>
    <x v="1"/>
    <s v="Quoex"/>
    <s v="Central"/>
    <x v="1"/>
    <n v="2.05761316872428E-3"/>
    <n v="1"/>
  </r>
  <r>
    <d v="2015-07-31T08:00:00"/>
    <n v="441"/>
    <n v="1"/>
    <n v="338"/>
    <n v="22"/>
    <n v="13"/>
    <n v="4360148"/>
    <x v="438"/>
    <d v="1900-01-19T00:00:00"/>
    <n v="406"/>
    <x v="0"/>
    <n v="7"/>
    <x v="1"/>
    <x v="1"/>
    <s v="Opportunity #441"/>
    <n v="263"/>
    <n v="2"/>
    <x v="1"/>
    <x v="1"/>
    <x v="21"/>
    <x v="21"/>
    <x v="1"/>
    <x v="1"/>
    <x v="1"/>
    <s v="Canzoomtone"/>
    <s v="East"/>
    <x v="1"/>
    <n v="0"/>
    <n v="1"/>
  </r>
  <r>
    <d v="2015-07-31T08:00:00"/>
    <n v="442"/>
    <n v="1"/>
    <n v="339"/>
    <n v="8"/>
    <n v="22"/>
    <n v="9930347"/>
    <x v="439"/>
    <d v="1900-01-14T00:00:00"/>
    <n v="442"/>
    <x v="0"/>
    <n v="7"/>
    <x v="1"/>
    <x v="1"/>
    <s v="Opportunity #442"/>
    <n v="462"/>
    <n v="3"/>
    <x v="2"/>
    <x v="1"/>
    <x v="0"/>
    <x v="7"/>
    <x v="0"/>
    <x v="1"/>
    <x v="1"/>
    <s v="Stripgreen"/>
    <s v="West"/>
    <x v="0"/>
    <n v="2.05761316872428E-3"/>
    <n v="1"/>
  </r>
  <r>
    <d v="2015-12-31T10:59:00"/>
    <n v="443"/>
    <n v="1"/>
    <n v="204"/>
    <n v="8"/>
    <n v="15"/>
    <n v="3933011"/>
    <x v="440"/>
    <d v="1900-01-03T00:00:00"/>
    <n v="422"/>
    <x v="0"/>
    <n v="12"/>
    <x v="6"/>
    <x v="2"/>
    <s v="Opportunity #443"/>
    <n v="238"/>
    <n v="2"/>
    <x v="1"/>
    <x v="2"/>
    <x v="12"/>
    <x v="7"/>
    <x v="0"/>
    <x v="1"/>
    <x v="1"/>
    <s v="acelex"/>
    <s v="Central"/>
    <x v="0"/>
    <n v="2.05761316872428E-3"/>
    <n v="1"/>
  </r>
  <r>
    <d v="2015-07-04T10:59:00"/>
    <n v="444"/>
    <n v="3"/>
    <n v="340"/>
    <n v="97"/>
    <n v="13"/>
    <n v="10875494"/>
    <x v="441"/>
    <d v="1900-01-02T00:00:00"/>
    <n v="457"/>
    <x v="0"/>
    <n v="7"/>
    <x v="1"/>
    <x v="0"/>
    <s v="Opportunity #444"/>
    <n v="473"/>
    <n v="3"/>
    <x v="2"/>
    <x v="0"/>
    <x v="21"/>
    <x v="95"/>
    <x v="0"/>
    <x v="2"/>
    <x v="2"/>
    <s v="Basehatbam"/>
    <s v="West"/>
    <x v="1"/>
    <n v="2.05761316872428E-3"/>
    <n v="4.5"/>
  </r>
  <r>
    <d v="2015-03-25T10:59:00"/>
    <n v="445"/>
    <n v="1"/>
    <n v="341"/>
    <n v="8"/>
    <n v="5"/>
    <n v="3583798"/>
    <x v="442"/>
    <d v="1900-01-19T00:00:00"/>
    <n v="429"/>
    <x v="0"/>
    <n v="3"/>
    <x v="10"/>
    <x v="1"/>
    <s v="Opportunity #445"/>
    <n v="220"/>
    <n v="2"/>
    <x v="1"/>
    <x v="1"/>
    <x v="6"/>
    <x v="7"/>
    <x v="0"/>
    <x v="1"/>
    <x v="1"/>
    <s v="Subtouch"/>
    <s v="East"/>
    <x v="2"/>
    <n v="2.05761316872428E-3"/>
    <n v="0.22222222222222221"/>
  </r>
  <r>
    <d v="2015-07-31T08:00:00"/>
    <n v="446"/>
    <n v="1"/>
    <n v="342"/>
    <n v="8"/>
    <n v="10"/>
    <n v="8720248"/>
    <x v="443"/>
    <d v="1900-01-16T00:00:00"/>
    <n v="440"/>
    <x v="0"/>
    <n v="7"/>
    <x v="1"/>
    <x v="1"/>
    <s v="Opportunity #446"/>
    <n v="432"/>
    <n v="3"/>
    <x v="2"/>
    <x v="1"/>
    <x v="10"/>
    <x v="7"/>
    <x v="0"/>
    <x v="1"/>
    <x v="1"/>
    <s v="Freshtrans"/>
    <s v="Central"/>
    <x v="1"/>
    <n v="2.05761316872428E-3"/>
    <n v="1"/>
  </r>
  <r>
    <d v="2015-11-30T10:59:00"/>
    <n v="447"/>
    <n v="1"/>
    <n v="343"/>
    <n v="8"/>
    <n v="12"/>
    <n v="8332937"/>
    <x v="444"/>
    <d v="1900-01-01T00:00:00"/>
    <n v="516"/>
    <x v="0"/>
    <n v="11"/>
    <x v="4"/>
    <x v="2"/>
    <s v="Opportunity #447"/>
    <n v="424"/>
    <n v="3"/>
    <x v="2"/>
    <x v="2"/>
    <x v="5"/>
    <x v="7"/>
    <x v="0"/>
    <x v="1"/>
    <x v="1"/>
    <s v="Key-lex"/>
    <s v="West"/>
    <x v="1"/>
    <n v="2.05761316872428E-3"/>
    <n v="1"/>
  </r>
  <r>
    <d v="2015-07-31T08:00:00"/>
    <n v="448"/>
    <n v="2"/>
    <n v="23"/>
    <n v="22"/>
    <n v="13"/>
    <n v="943728"/>
    <x v="445"/>
    <d v="1900-01-03T00:00:00"/>
    <n v="422"/>
    <x v="0"/>
    <n v="7"/>
    <x v="1"/>
    <x v="1"/>
    <s v="Opportunity #448"/>
    <n v="68"/>
    <n v="1"/>
    <x v="0"/>
    <x v="1"/>
    <x v="21"/>
    <x v="21"/>
    <x v="1"/>
    <x v="0"/>
    <x v="0"/>
    <s v="Key-texon"/>
    <s v="West"/>
    <x v="2"/>
    <n v="0"/>
    <n v="0.5"/>
  </r>
  <r>
    <d v="2015-01-30T10:59:00"/>
    <n v="449"/>
    <n v="5"/>
    <n v="73"/>
    <n v="8"/>
    <n v="18"/>
    <n v="6770072"/>
    <x v="446"/>
    <d v="1900-01-05T00:00:00"/>
    <n v="389"/>
    <x v="0"/>
    <n v="1"/>
    <x v="9"/>
    <x v="2"/>
    <s v="Opportunity #449"/>
    <n v="378"/>
    <n v="3"/>
    <x v="2"/>
    <x v="2"/>
    <x v="3"/>
    <x v="7"/>
    <x v="0"/>
    <x v="4"/>
    <x v="4"/>
    <s v="Latis"/>
    <s v="Central"/>
    <x v="0"/>
    <n v="2.05761316872428E-3"/>
    <n v="54"/>
  </r>
  <r>
    <d v="2015-07-29T06:00:00"/>
    <n v="450"/>
    <n v="1"/>
    <n v="344"/>
    <n v="22"/>
    <n v="6"/>
    <n v="4216969"/>
    <x v="447"/>
    <d v="1900-01-09T00:00:00"/>
    <n v="534"/>
    <x v="0"/>
    <n v="7"/>
    <x v="1"/>
    <x v="1"/>
    <s v="Opportunity #450"/>
    <n v="255"/>
    <n v="2"/>
    <x v="1"/>
    <x v="1"/>
    <x v="2"/>
    <x v="21"/>
    <x v="1"/>
    <x v="1"/>
    <x v="1"/>
    <s v="Haytakix"/>
    <s v="East"/>
    <x v="1"/>
    <n v="0"/>
    <n v="3.7037037037037035E-2"/>
  </r>
  <r>
    <d v="2015-01-30T10:59:00"/>
    <n v="451"/>
    <n v="5"/>
    <n v="345"/>
    <n v="31"/>
    <n v="9"/>
    <n v="6347126"/>
    <x v="448"/>
    <d v="1900-01-15T00:00:00"/>
    <n v="379"/>
    <x v="0"/>
    <n v="1"/>
    <x v="9"/>
    <x v="1"/>
    <s v="Opportunity #451"/>
    <n v="362"/>
    <n v="3"/>
    <x v="2"/>
    <x v="1"/>
    <x v="7"/>
    <x v="30"/>
    <x v="0"/>
    <x v="4"/>
    <x v="4"/>
    <s v="Iscon"/>
    <s v="West"/>
    <x v="0"/>
    <n v="2.05761316872428E-3"/>
    <n v="27"/>
  </r>
  <r>
    <d v="2015-08-31T10:59:00"/>
    <n v="452"/>
    <n v="1"/>
    <n v="1"/>
    <n v="8"/>
    <n v="12"/>
    <n v="3673659"/>
    <x v="449"/>
    <d v="1900-01-09T00:00:00"/>
    <n v="386"/>
    <x v="0"/>
    <n v="8"/>
    <x v="11"/>
    <x v="2"/>
    <s v="Opportunity #452"/>
    <n v="226"/>
    <n v="2"/>
    <x v="1"/>
    <x v="2"/>
    <x v="5"/>
    <x v="7"/>
    <x v="0"/>
    <x v="1"/>
    <x v="1"/>
    <s v="Toughjob"/>
    <s v="Central"/>
    <x v="0"/>
    <n v="2.05761316872428E-3"/>
    <n v="3.7037037037037035E-2"/>
  </r>
  <r>
    <d v="2015-04-10T10:59:00"/>
    <n v="453"/>
    <n v="1"/>
    <n v="346"/>
    <n v="8"/>
    <n v="23"/>
    <n v="6729791"/>
    <x v="450"/>
    <d v="1900-01-04T00:00:00"/>
    <n v="460"/>
    <x v="0"/>
    <n v="4"/>
    <x v="8"/>
    <x v="2"/>
    <s v="Opportunity #453"/>
    <n v="375"/>
    <n v="3"/>
    <x v="2"/>
    <x v="2"/>
    <x v="19"/>
    <x v="7"/>
    <x v="0"/>
    <x v="1"/>
    <x v="1"/>
    <s v="Zamtechnology"/>
    <s v="East"/>
    <x v="0"/>
    <n v="2.05761316872428E-3"/>
    <n v="1"/>
  </r>
  <r>
    <d v="2015-09-30T10:59:00"/>
    <n v="454"/>
    <n v="1"/>
    <n v="118"/>
    <n v="8"/>
    <n v="9"/>
    <n v="10344442"/>
    <x v="451"/>
    <d v="1900-01-29T00:00:00"/>
    <n v="488"/>
    <x v="0"/>
    <n v="9"/>
    <x v="5"/>
    <x v="1"/>
    <s v="Opportunity #454"/>
    <n v="470"/>
    <n v="3"/>
    <x v="2"/>
    <x v="1"/>
    <x v="7"/>
    <x v="7"/>
    <x v="0"/>
    <x v="1"/>
    <x v="1"/>
    <s v="Standrill"/>
    <s v="East"/>
    <x v="1"/>
    <n v="2.05761316872428E-3"/>
    <n v="1"/>
  </r>
  <r>
    <d v="2015-12-31T10:59:00"/>
    <n v="455"/>
    <n v="1"/>
    <n v="54"/>
    <n v="8"/>
    <n v="15"/>
    <n v="7337198"/>
    <x v="452"/>
    <d v="1900-01-07T00:00:00"/>
    <n v="418"/>
    <x v="0"/>
    <n v="12"/>
    <x v="6"/>
    <x v="0"/>
    <s v="Opportunity #455"/>
    <n v="398"/>
    <n v="3"/>
    <x v="2"/>
    <x v="0"/>
    <x v="12"/>
    <x v="7"/>
    <x v="0"/>
    <x v="1"/>
    <x v="1"/>
    <s v="techiplex"/>
    <s v="Central"/>
    <x v="2"/>
    <n v="2.05761316872428E-3"/>
    <n v="1"/>
  </r>
  <r>
    <d v="2015-08-31T10:59:00"/>
    <n v="456"/>
    <n v="2"/>
    <n v="215"/>
    <n v="8"/>
    <n v="5"/>
    <n v="8054791"/>
    <x v="453"/>
    <d v="1900-01-07T00:00:00"/>
    <n v="449"/>
    <x v="0"/>
    <n v="8"/>
    <x v="11"/>
    <x v="1"/>
    <s v="Opportunity #456"/>
    <n v="416"/>
    <n v="3"/>
    <x v="2"/>
    <x v="1"/>
    <x v="6"/>
    <x v="7"/>
    <x v="0"/>
    <x v="0"/>
    <x v="0"/>
    <s v="Nimtexon"/>
    <s v="West"/>
    <x v="2"/>
    <n v="2.05761316872428E-3"/>
    <n v="0.5"/>
  </r>
  <r>
    <d v="2015-10-31T10:59:00"/>
    <n v="457"/>
    <n v="1"/>
    <n v="54"/>
    <n v="8"/>
    <n v="1"/>
    <n v="1353549"/>
    <x v="454"/>
    <d v="1900-01-22T00:00:00"/>
    <n v="465"/>
    <x v="0"/>
    <n v="10"/>
    <x v="3"/>
    <x v="0"/>
    <s v="Opportunity #457"/>
    <n v="90"/>
    <n v="1"/>
    <x v="0"/>
    <x v="0"/>
    <x v="22"/>
    <x v="7"/>
    <x v="0"/>
    <x v="1"/>
    <x v="1"/>
    <s v="techiplex"/>
    <s v="Central"/>
    <x v="2"/>
    <n v="2.05761316872428E-3"/>
    <n v="2"/>
  </r>
  <r>
    <d v="2015-10-31T10:59:00"/>
    <n v="458"/>
    <n v="1"/>
    <n v="54"/>
    <n v="8"/>
    <n v="5"/>
    <n v="305329"/>
    <x v="455"/>
    <d v="1900-01-13T00:00:00"/>
    <n v="504"/>
    <x v="0"/>
    <n v="10"/>
    <x v="3"/>
    <x v="0"/>
    <s v="Opportunity #458"/>
    <n v="29"/>
    <n v="1"/>
    <x v="0"/>
    <x v="0"/>
    <x v="6"/>
    <x v="7"/>
    <x v="0"/>
    <x v="1"/>
    <x v="1"/>
    <s v="techiplex"/>
    <s v="Central"/>
    <x v="2"/>
    <n v="2.05761316872428E-3"/>
    <n v="1"/>
  </r>
  <r>
    <d v="2015-12-31T10:59:00"/>
    <n v="459"/>
    <n v="1"/>
    <n v="217"/>
    <n v="8"/>
    <n v="9"/>
    <n v="1942288"/>
    <x v="456"/>
    <d v="1900-01-15T00:00:00"/>
    <n v="594"/>
    <x v="0"/>
    <n v="12"/>
    <x v="6"/>
    <x v="1"/>
    <s v="Opportunity #459"/>
    <n v="132"/>
    <n v="1"/>
    <x v="0"/>
    <x v="1"/>
    <x v="7"/>
    <x v="7"/>
    <x v="0"/>
    <x v="1"/>
    <x v="1"/>
    <s v="Zonfind"/>
    <s v="East"/>
    <x v="2"/>
    <n v="2.05761316872428E-3"/>
    <n v="1"/>
  </r>
  <r>
    <d v="2015-10-31T10:59:00"/>
    <n v="460"/>
    <n v="1"/>
    <n v="70"/>
    <n v="8"/>
    <n v="6"/>
    <n v="8473963"/>
    <x v="457"/>
    <d v="1900-01-12T00:00:00"/>
    <n v="597"/>
    <x v="0"/>
    <n v="10"/>
    <x v="3"/>
    <x v="0"/>
    <s v="Opportunity #460"/>
    <n v="427"/>
    <n v="3"/>
    <x v="2"/>
    <x v="0"/>
    <x v="2"/>
    <x v="7"/>
    <x v="0"/>
    <x v="1"/>
    <x v="1"/>
    <s v="Keystreet"/>
    <s v="West"/>
    <x v="2"/>
    <n v="2.05761316872428E-3"/>
    <n v="1"/>
  </r>
  <r>
    <d v="2015-10-31T10:59:00"/>
    <n v="461"/>
    <n v="1"/>
    <n v="3"/>
    <n v="8"/>
    <n v="15"/>
    <n v="6329746"/>
    <x v="458"/>
    <d v="1900-01-28T00:00:00"/>
    <n v="397"/>
    <x v="0"/>
    <n v="10"/>
    <x v="3"/>
    <x v="0"/>
    <s v="Opportunity #461"/>
    <n v="359"/>
    <n v="3"/>
    <x v="2"/>
    <x v="0"/>
    <x v="12"/>
    <x v="7"/>
    <x v="0"/>
    <x v="1"/>
    <x v="1"/>
    <s v="Danmedia"/>
    <s v="West"/>
    <x v="2"/>
    <n v="2.05761316872428E-3"/>
    <n v="1"/>
  </r>
  <r>
    <d v="2015-10-31T10:59:00"/>
    <n v="462"/>
    <n v="1"/>
    <n v="347"/>
    <n v="8"/>
    <n v="23"/>
    <n v="4716033"/>
    <x v="459"/>
    <d v="1900-01-13T00:00:00"/>
    <n v="624"/>
    <x v="0"/>
    <n v="10"/>
    <x v="3"/>
    <x v="2"/>
    <s v="Opportunity #462"/>
    <n v="278"/>
    <n v="2"/>
    <x v="1"/>
    <x v="2"/>
    <x v="19"/>
    <x v="7"/>
    <x v="0"/>
    <x v="1"/>
    <x v="1"/>
    <s v="Voyaholdings"/>
    <s v="Central"/>
    <x v="2"/>
    <n v="2.05761316872428E-3"/>
    <n v="1"/>
  </r>
  <r>
    <d v="2015-12-31T10:59:00"/>
    <n v="463"/>
    <n v="1"/>
    <n v="193"/>
    <n v="8"/>
    <n v="13"/>
    <n v="8003726"/>
    <x v="460"/>
    <d v="1900-01-04T00:00:00"/>
    <n v="421"/>
    <x v="0"/>
    <n v="12"/>
    <x v="6"/>
    <x v="2"/>
    <s v="Opportunity #463"/>
    <n v="414"/>
    <n v="3"/>
    <x v="2"/>
    <x v="2"/>
    <x v="21"/>
    <x v="7"/>
    <x v="0"/>
    <x v="1"/>
    <x v="1"/>
    <s v="Gold-fase"/>
    <s v="West"/>
    <x v="0"/>
    <n v="2.05761316872428E-3"/>
    <n v="1"/>
  </r>
  <r>
    <d v="2015-12-31T10:59:00"/>
    <n v="464"/>
    <n v="1"/>
    <n v="113"/>
    <n v="8"/>
    <n v="9"/>
    <n v="1901171"/>
    <x v="461"/>
    <d v="1900-01-20T00:00:00"/>
    <n v="589"/>
    <x v="0"/>
    <n v="12"/>
    <x v="6"/>
    <x v="0"/>
    <s v="Opportunity #464"/>
    <n v="129"/>
    <n v="1"/>
    <x v="0"/>
    <x v="0"/>
    <x v="7"/>
    <x v="7"/>
    <x v="0"/>
    <x v="1"/>
    <x v="1"/>
    <s v="Zontam"/>
    <s v="West"/>
    <x v="0"/>
    <n v="2.05761316872428E-3"/>
    <n v="1"/>
  </r>
  <r>
    <d v="2015-05-29T10:59:00"/>
    <n v="465"/>
    <n v="1"/>
    <n v="348"/>
    <n v="22"/>
    <n v="15"/>
    <n v="1422696"/>
    <x v="462"/>
    <d v="1900-01-06T00:00:00"/>
    <n v="387"/>
    <x v="0"/>
    <n v="5"/>
    <x v="0"/>
    <x v="0"/>
    <s v="Opportunity #465"/>
    <n v="94"/>
    <n v="1"/>
    <x v="0"/>
    <x v="0"/>
    <x v="12"/>
    <x v="21"/>
    <x v="1"/>
    <x v="1"/>
    <x v="1"/>
    <s v="Drillhouse"/>
    <s v="East"/>
    <x v="2"/>
    <n v="0"/>
    <n v="1"/>
  </r>
  <r>
    <d v="2015-01-30T10:59:00"/>
    <n v="466"/>
    <n v="4"/>
    <n v="349"/>
    <n v="98"/>
    <n v="6"/>
    <n v="9071841"/>
    <x v="463"/>
    <d v="1900-01-11T00:00:00"/>
    <n v="383"/>
    <x v="0"/>
    <n v="1"/>
    <x v="9"/>
    <x v="0"/>
    <s v="Opportunity #466"/>
    <n v="443"/>
    <n v="3"/>
    <x v="2"/>
    <x v="0"/>
    <x v="2"/>
    <x v="96"/>
    <x v="0"/>
    <x v="3"/>
    <x v="3"/>
    <s v="Transtouch"/>
    <s v="West"/>
    <x v="2"/>
    <n v="2.05761316872428E-3"/>
    <n v="14"/>
  </r>
  <r>
    <d v="2015-12-31T10:59:00"/>
    <n v="467"/>
    <n v="1"/>
    <n v="191"/>
    <n v="8"/>
    <n v="11"/>
    <n v="11529542"/>
    <x v="464"/>
    <d v="1900-01-07T00:00:00"/>
    <n v="722"/>
    <x v="0"/>
    <n v="12"/>
    <x v="6"/>
    <x v="1"/>
    <s v="Opportunity #467"/>
    <n v="480"/>
    <n v="3"/>
    <x v="2"/>
    <x v="1"/>
    <x v="16"/>
    <x v="7"/>
    <x v="0"/>
    <x v="1"/>
    <x v="1"/>
    <s v="Jayhigh"/>
    <s v="Central"/>
    <x v="2"/>
    <n v="2.05761316872428E-3"/>
    <n v="7.1428571428571425E-2"/>
  </r>
  <r>
    <d v="2015-05-22T10:59:00"/>
    <n v="468"/>
    <n v="3"/>
    <n v="350"/>
    <n v="22"/>
    <n v="25"/>
    <n v="2401584"/>
    <x v="465"/>
    <d v="1900-01-20T00:00:00"/>
    <n v="486"/>
    <x v="0"/>
    <n v="5"/>
    <x v="0"/>
    <x v="0"/>
    <s v="Opportunity #468"/>
    <n v="160"/>
    <n v="1"/>
    <x v="0"/>
    <x v="0"/>
    <x v="9"/>
    <x v="21"/>
    <x v="1"/>
    <x v="2"/>
    <x v="2"/>
    <s v="Villafase"/>
    <s v="East"/>
    <x v="0"/>
    <n v="0"/>
    <n v="4.5"/>
  </r>
  <r>
    <d v="2015-07-31T07:00:00"/>
    <n v="469"/>
    <n v="1"/>
    <n v="209"/>
    <n v="69"/>
    <n v="21"/>
    <n v="7940991"/>
    <x v="466"/>
    <d v="1900-01-28T00:00:00"/>
    <n v="367"/>
    <x v="0"/>
    <n v="7"/>
    <x v="1"/>
    <x v="1"/>
    <s v="Opportunity #469"/>
    <n v="412"/>
    <n v="3"/>
    <x v="2"/>
    <x v="1"/>
    <x v="14"/>
    <x v="67"/>
    <x v="0"/>
    <x v="1"/>
    <x v="1"/>
    <s v="Trustline"/>
    <s v="East"/>
    <x v="2"/>
    <n v="2.05761316872428E-3"/>
    <n v="0.22222222222222221"/>
  </r>
  <r>
    <d v="2015-07-31T08:00:00"/>
    <n v="470"/>
    <n v="3"/>
    <n v="77"/>
    <n v="99"/>
    <n v="6"/>
    <n v="6680608"/>
    <x v="467"/>
    <d v="1900-01-16T00:00:00"/>
    <n v="560"/>
    <x v="0"/>
    <n v="7"/>
    <x v="1"/>
    <x v="1"/>
    <s v="Opportunity #470"/>
    <n v="373"/>
    <n v="3"/>
    <x v="2"/>
    <x v="1"/>
    <x v="2"/>
    <x v="97"/>
    <x v="0"/>
    <x v="2"/>
    <x v="2"/>
    <s v="quotefix"/>
    <s v="Central"/>
    <x v="2"/>
    <n v="2.05761316872428E-3"/>
    <n v="4.5"/>
  </r>
  <r>
    <d v="2015-10-31T10:59:00"/>
    <n v="471"/>
    <n v="1"/>
    <n v="351"/>
    <n v="100"/>
    <n v="19"/>
    <n v="4082052"/>
    <x v="468"/>
    <d v="1899-12-31T00:00:00"/>
    <n v="395"/>
    <x v="0"/>
    <n v="10"/>
    <x v="3"/>
    <x v="0"/>
    <s v="Opportunity #471"/>
    <n v="249"/>
    <n v="2"/>
    <x v="1"/>
    <x v="0"/>
    <x v="1"/>
    <x v="98"/>
    <x v="0"/>
    <x v="1"/>
    <x v="1"/>
    <s v="Canhouse"/>
    <s v="East"/>
    <x v="2"/>
    <n v="2.05761316872428E-3"/>
    <n v="0.22222222222222221"/>
  </r>
  <r>
    <d v="2015-08-25T07:00:00"/>
    <n v="472"/>
    <n v="2"/>
    <n v="17"/>
    <n v="8"/>
    <n v="25"/>
    <n v="7486925"/>
    <x v="469"/>
    <d v="1900-01-16T00:00:00"/>
    <n v="554"/>
    <x v="0"/>
    <n v="8"/>
    <x v="11"/>
    <x v="2"/>
    <s v="Opportunity #472"/>
    <n v="400"/>
    <n v="3"/>
    <x v="2"/>
    <x v="2"/>
    <x v="9"/>
    <x v="7"/>
    <x v="0"/>
    <x v="0"/>
    <x v="0"/>
    <s v="Stanfase"/>
    <s v="East"/>
    <x v="0"/>
    <n v="2.05761316872428E-3"/>
    <n v="0.5"/>
  </r>
  <r>
    <d v="2015-11-30T10:59:00"/>
    <n v="473"/>
    <n v="1"/>
    <n v="352"/>
    <n v="22"/>
    <n v="19"/>
    <n v="4001896"/>
    <x v="470"/>
    <d v="1900-01-29T00:00:00"/>
    <n v="549"/>
    <x v="0"/>
    <n v="11"/>
    <x v="4"/>
    <x v="1"/>
    <s v="Opportunity #473"/>
    <n v="242"/>
    <n v="2"/>
    <x v="1"/>
    <x v="1"/>
    <x v="1"/>
    <x v="21"/>
    <x v="1"/>
    <x v="1"/>
    <x v="1"/>
    <s v="Overware"/>
    <s v="Central"/>
    <x v="0"/>
    <n v="0"/>
    <n v="2"/>
  </r>
  <r>
    <d v="2015-01-09T10:59:00"/>
    <n v="474"/>
    <n v="3"/>
    <n v="177"/>
    <n v="22"/>
    <n v="7"/>
    <n v="1128387"/>
    <x v="471"/>
    <d v="1900-01-01T00:00:00"/>
    <n v="372"/>
    <x v="0"/>
    <n v="1"/>
    <x v="9"/>
    <x v="0"/>
    <s v="Opportunity #474"/>
    <n v="78"/>
    <n v="1"/>
    <x v="0"/>
    <x v="0"/>
    <x v="15"/>
    <x v="21"/>
    <x v="1"/>
    <x v="2"/>
    <x v="2"/>
    <s v="Solronway"/>
    <s v="East"/>
    <x v="0"/>
    <n v="0"/>
    <n v="4.5"/>
  </r>
  <r>
    <d v="2015-12-31T10:59:00"/>
    <n v="475"/>
    <n v="1"/>
    <n v="281"/>
    <n v="8"/>
    <n v="20"/>
    <n v="5169474"/>
    <x v="472"/>
    <d v="1900-01-09T00:00:00"/>
    <n v="661"/>
    <x v="0"/>
    <n v="12"/>
    <x v="6"/>
    <x v="0"/>
    <s v="Opportunity #475"/>
    <n v="304"/>
    <n v="2"/>
    <x v="1"/>
    <x v="0"/>
    <x v="11"/>
    <x v="7"/>
    <x v="0"/>
    <x v="1"/>
    <x v="1"/>
    <s v="Greencorporation"/>
    <s v="West"/>
    <x v="2"/>
    <n v="2.05761316872428E-3"/>
    <n v="0.22222222222222221"/>
  </r>
  <r>
    <d v="2015-02-28T10:59:00"/>
    <n v="476"/>
    <n v="4"/>
    <n v="353"/>
    <n v="22"/>
    <n v="20"/>
    <n v="733176"/>
    <x v="473"/>
    <d v="1900-01-07T00:00:00"/>
    <n v="385"/>
    <x v="0"/>
    <n v="2"/>
    <x v="7"/>
    <x v="0"/>
    <s v="Opportunity #476"/>
    <n v="56"/>
    <n v="1"/>
    <x v="0"/>
    <x v="0"/>
    <x v="11"/>
    <x v="21"/>
    <x v="1"/>
    <x v="3"/>
    <x v="3"/>
    <s v="Dentohigh"/>
    <s v="Central"/>
    <x v="1"/>
    <n v="0"/>
    <n v="14"/>
  </r>
  <r>
    <d v="2015-09-30T10:59:00"/>
    <n v="477"/>
    <n v="2"/>
    <n v="95"/>
    <n v="22"/>
    <n v="1"/>
    <n v="4152171"/>
    <x v="474"/>
    <d v="1900-01-18T00:00:00"/>
    <n v="619"/>
    <x v="0"/>
    <n v="9"/>
    <x v="5"/>
    <x v="0"/>
    <s v="Opportunity #477"/>
    <n v="252"/>
    <n v="2"/>
    <x v="1"/>
    <x v="0"/>
    <x v="22"/>
    <x v="21"/>
    <x v="1"/>
    <x v="0"/>
    <x v="0"/>
    <s v="Sandubjob"/>
    <s v="East"/>
    <x v="1"/>
    <n v="0"/>
    <n v="3.5714285714285712E-2"/>
  </r>
  <r>
    <d v="2015-09-30T10:59:00"/>
    <n v="478"/>
    <n v="1"/>
    <n v="354"/>
    <n v="9"/>
    <n v="9"/>
    <n v="2676258"/>
    <x v="475"/>
    <d v="1900-01-07T00:00:00"/>
    <n v="599"/>
    <x v="0"/>
    <n v="9"/>
    <x v="5"/>
    <x v="0"/>
    <s v="Opportunity #478"/>
    <n v="174"/>
    <n v="2"/>
    <x v="1"/>
    <x v="0"/>
    <x v="7"/>
    <x v="8"/>
    <x v="0"/>
    <x v="1"/>
    <x v="1"/>
    <s v="highdom"/>
    <s v="Central"/>
    <x v="0"/>
    <n v="2.05761316872428E-3"/>
    <n v="2"/>
  </r>
  <r>
    <d v="2015-01-30T10:59:00"/>
    <n v="479"/>
    <n v="4"/>
    <n v="355"/>
    <n v="101"/>
    <n v="3"/>
    <n v="538200"/>
    <x v="476"/>
    <d v="1900-01-02T00:00:00"/>
    <n v="392"/>
    <x v="0"/>
    <n v="1"/>
    <x v="9"/>
    <x v="0"/>
    <s v="Opportunity #479"/>
    <n v="45"/>
    <n v="1"/>
    <x v="0"/>
    <x v="0"/>
    <x v="13"/>
    <x v="99"/>
    <x v="0"/>
    <x v="3"/>
    <x v="3"/>
    <s v="Roncon"/>
    <s v="West"/>
    <x v="1"/>
    <n v="2.05761316872428E-3"/>
    <n v="14"/>
  </r>
  <r>
    <d v="2015-05-31T10:59:00"/>
    <n v="480"/>
    <n v="3"/>
    <n v="69"/>
    <n v="22"/>
    <n v="23"/>
    <n v="1513800"/>
    <x v="477"/>
    <d v="1900-01-01T00:00:00"/>
    <n v="424"/>
    <x v="0"/>
    <n v="5"/>
    <x v="0"/>
    <x v="1"/>
    <s v="Opportunity #480"/>
    <n v="103"/>
    <n v="1"/>
    <x v="0"/>
    <x v="1"/>
    <x v="19"/>
    <x v="21"/>
    <x v="1"/>
    <x v="2"/>
    <x v="2"/>
    <s v="Goodplex"/>
    <s v="Central"/>
    <x v="0"/>
    <n v="0"/>
    <n v="0.32142857142857145"/>
  </r>
  <r>
    <d v="2015-05-01T10:59:00"/>
    <n v="481"/>
    <n v="1"/>
    <n v="324"/>
    <n v="22"/>
    <n v="24"/>
    <n v="166000"/>
    <x v="478"/>
    <d v="1899-12-31T00:00:00"/>
    <n v="454"/>
    <x v="0"/>
    <n v="5"/>
    <x v="0"/>
    <x v="2"/>
    <s v="Opportunity #481"/>
    <n v="19"/>
    <n v="1"/>
    <x v="0"/>
    <x v="2"/>
    <x v="8"/>
    <x v="21"/>
    <x v="1"/>
    <x v="1"/>
    <x v="1"/>
    <s v="Indicore"/>
    <s v="Central"/>
    <x v="0"/>
    <n v="0"/>
    <n v="0.22222222222222221"/>
  </r>
  <r>
    <d v="2015-05-01T10:59:00"/>
    <n v="482"/>
    <n v="3"/>
    <n v="324"/>
    <n v="22"/>
    <n v="21"/>
    <n v="366600"/>
    <x v="479"/>
    <d v="1899-12-31T00:00:00"/>
    <n v="365"/>
    <x v="0"/>
    <n v="5"/>
    <x v="0"/>
    <x v="1"/>
    <s v="Opportunity #482"/>
    <n v="34"/>
    <n v="1"/>
    <x v="0"/>
    <x v="1"/>
    <x v="14"/>
    <x v="21"/>
    <x v="1"/>
    <x v="2"/>
    <x v="2"/>
    <s v="Indicore"/>
    <s v="Central"/>
    <x v="0"/>
    <n v="0"/>
    <n v="4.5"/>
  </r>
  <r>
    <d v="2015-06-26T10:59:00"/>
    <n v="483"/>
    <n v="2"/>
    <n v="356"/>
    <n v="22"/>
    <n v="11"/>
    <n v="24700"/>
    <x v="480"/>
    <d v="1900-01-02T00:00:00"/>
    <n v="419"/>
    <x v="0"/>
    <n v="6"/>
    <x v="2"/>
    <x v="1"/>
    <s v="Opportunity #483"/>
    <n v="2"/>
    <n v="1"/>
    <x v="0"/>
    <x v="1"/>
    <x v="16"/>
    <x v="21"/>
    <x v="1"/>
    <x v="0"/>
    <x v="0"/>
    <s v="Canlam"/>
    <s v="East"/>
    <x v="2"/>
    <n v="0"/>
    <n v="0.1111111111111111"/>
  </r>
  <r>
    <d v="2015-03-17T10:59:00"/>
    <n v="484"/>
    <n v="1"/>
    <n v="357"/>
    <n v="22"/>
    <n v="25"/>
    <n v="124080"/>
    <x v="481"/>
    <d v="1900-01-06T00:00:00"/>
    <n v="434"/>
    <x v="0"/>
    <n v="3"/>
    <x v="10"/>
    <x v="0"/>
    <s v="Opportunity #484"/>
    <n v="14"/>
    <n v="1"/>
    <x v="0"/>
    <x v="0"/>
    <x v="9"/>
    <x v="21"/>
    <x v="1"/>
    <x v="1"/>
    <x v="1"/>
    <s v="Groovetom"/>
    <s v="East"/>
    <x v="0"/>
    <n v="0"/>
    <n v="2"/>
  </r>
  <r>
    <d v="2015-10-31T10:59:00"/>
    <n v="485"/>
    <n v="1"/>
    <n v="100"/>
    <n v="22"/>
    <n v="3"/>
    <n v="165120"/>
    <x v="482"/>
    <d v="1900-01-21T00:00:00"/>
    <n v="404"/>
    <x v="0"/>
    <n v="10"/>
    <x v="3"/>
    <x v="0"/>
    <s v="Opportunity #485"/>
    <n v="18"/>
    <n v="1"/>
    <x v="0"/>
    <x v="0"/>
    <x v="13"/>
    <x v="21"/>
    <x v="1"/>
    <x v="1"/>
    <x v="1"/>
    <s v="Tanflex"/>
    <s v="Central"/>
    <x v="0"/>
    <n v="0"/>
    <n v="1"/>
  </r>
  <r>
    <d v="2015-10-31T10:59:00"/>
    <n v="486"/>
    <n v="1"/>
    <n v="98"/>
    <n v="8"/>
    <n v="12"/>
    <n v="80355"/>
    <x v="483"/>
    <d v="1900-01-21T00:00:00"/>
    <n v="404"/>
    <x v="0"/>
    <n v="10"/>
    <x v="3"/>
    <x v="1"/>
    <s v="Opportunity #486"/>
    <n v="9"/>
    <n v="1"/>
    <x v="0"/>
    <x v="1"/>
    <x v="5"/>
    <x v="7"/>
    <x v="0"/>
    <x v="1"/>
    <x v="1"/>
    <s v="Anjob"/>
    <s v="East"/>
    <x v="1"/>
    <n v="2.05761316872428E-3"/>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0B28A7-4B45-436A-A2DE-F006B4A985F3}"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3">
  <location ref="A21:B24"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axis="axisRow"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3"/>
  </rowFields>
  <rowItems count="3">
    <i>
      <x/>
    </i>
    <i>
      <x v="1"/>
    </i>
    <i>
      <x v="2"/>
    </i>
  </rowItems>
  <colItems count="1">
    <i/>
  </colItems>
  <dataFields count="1">
    <dataField name="Sum of FactoredProductRevenue" fld="7" baseField="0" baseItem="0" numFmtId="166"/>
  </dataFields>
  <formats count="2">
    <format dxfId="1">
      <pivotArea collapsedLevelsAreSubtotals="1" fieldPosition="0">
        <references count="1">
          <reference field="13" count="0"/>
        </references>
      </pivotArea>
    </format>
    <format dxfId="0">
      <pivotArea outline="0" collapsedLevelsAreSubtotals="1" fieldPosition="0"/>
    </format>
  </formats>
  <chartFormats count="4">
    <chartFormat chart="30" format="25" series="1">
      <pivotArea type="data" outline="0" fieldPosition="0">
        <references count="1">
          <reference field="4294967294" count="1" selected="0">
            <x v="0"/>
          </reference>
        </references>
      </pivotArea>
    </chartFormat>
    <chartFormat chart="30" format="26">
      <pivotArea type="data" outline="0" fieldPosition="0">
        <references count="2">
          <reference field="4294967294" count="1" selected="0">
            <x v="0"/>
          </reference>
          <reference field="13" count="1" selected="0">
            <x v="0"/>
          </reference>
        </references>
      </pivotArea>
    </chartFormat>
    <chartFormat chart="30" format="27">
      <pivotArea type="data" outline="0" fieldPosition="0">
        <references count="2">
          <reference field="4294967294" count="1" selected="0">
            <x v="0"/>
          </reference>
          <reference field="13" count="1" selected="0">
            <x v="1"/>
          </reference>
        </references>
      </pivotArea>
    </chartFormat>
    <chartFormat chart="30" format="2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FC8321-63D5-4B37-8E9A-38241AD40D88}"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46:C347" firstHeaderRow="0" firstDataRow="1" firstDataCol="0"/>
  <pivotFields count="31">
    <pivotField numFmtId="22" showAll="0"/>
    <pivotField showAll="0"/>
    <pivotField showAll="0"/>
    <pivotField showAll="0"/>
    <pivotField showAll="0"/>
    <pivotField showAll="0"/>
    <pivotField showAll="0"/>
    <pivotField dataField="1" showAll="0">
      <items count="485">
        <item x="3"/>
        <item x="1"/>
        <item x="5"/>
        <item x="480"/>
        <item x="204"/>
        <item x="389"/>
        <item x="4"/>
        <item x="174"/>
        <item x="483"/>
        <item x="191"/>
        <item x="481"/>
        <item x="55"/>
        <item x="49"/>
        <item x="482"/>
        <item x="478"/>
        <item x="297"/>
        <item x="226"/>
        <item x="0"/>
        <item x="209"/>
        <item x="430"/>
        <item x="2"/>
        <item x="41"/>
        <item x="339"/>
        <item x="119"/>
        <item x="455"/>
        <item x="255"/>
        <item x="244"/>
        <item x="427"/>
        <item x="82"/>
        <item x="175"/>
        <item x="416"/>
        <item x="110"/>
        <item x="76"/>
        <item x="261"/>
        <item x="404"/>
        <item x="399"/>
        <item x="350"/>
        <item x="324"/>
        <item x="371"/>
        <item x="412"/>
        <item x="393"/>
        <item x="85"/>
        <item x="138"/>
        <item x="259"/>
        <item x="169"/>
        <item x="401"/>
        <item x="6"/>
        <item x="212"/>
        <item x="157"/>
        <item x="414"/>
        <item x="322"/>
        <item x="47"/>
        <item x="16"/>
        <item x="388"/>
        <item x="170"/>
        <item x="183"/>
        <item x="18"/>
        <item x="99"/>
        <item x="349"/>
        <item x="415"/>
        <item x="263"/>
        <item x="184"/>
        <item x="58"/>
        <item x="153"/>
        <item x="251"/>
        <item x="454"/>
        <item x="121"/>
        <item x="462"/>
        <item x="124"/>
        <item x="256"/>
        <item x="479"/>
        <item x="228"/>
        <item x="353"/>
        <item x="366"/>
        <item x="31"/>
        <item x="225"/>
        <item x="298"/>
        <item x="301"/>
        <item x="32"/>
        <item x="287"/>
        <item x="313"/>
        <item x="9"/>
        <item x="142"/>
        <item x="383"/>
        <item x="178"/>
        <item x="80"/>
        <item x="445"/>
        <item x="461"/>
        <item x="456"/>
        <item x="422"/>
        <item x="376"/>
        <item x="180"/>
        <item x="320"/>
        <item x="51"/>
        <item x="306"/>
        <item x="240"/>
        <item x="192"/>
        <item x="146"/>
        <item x="150"/>
        <item x="285"/>
        <item x="344"/>
        <item x="213"/>
        <item x="78"/>
        <item x="278"/>
        <item x="117"/>
        <item x="96"/>
        <item x="381"/>
        <item x="254"/>
        <item x="127"/>
        <item x="8"/>
        <item x="101"/>
        <item x="326"/>
        <item x="91"/>
        <item x="72"/>
        <item x="173"/>
        <item x="429"/>
        <item x="238"/>
        <item x="433"/>
        <item x="163"/>
        <item x="475"/>
        <item x="156"/>
        <item x="149"/>
        <item x="352"/>
        <item x="329"/>
        <item x="342"/>
        <item x="64"/>
        <item x="111"/>
        <item x="379"/>
        <item x="167"/>
        <item x="166"/>
        <item x="347"/>
        <item x="364"/>
        <item x="424"/>
        <item x="269"/>
        <item x="122"/>
        <item x="30"/>
        <item x="476"/>
        <item x="362"/>
        <item x="45"/>
        <item x="132"/>
        <item x="323"/>
        <item x="81"/>
        <item x="177"/>
        <item x="186"/>
        <item x="185"/>
        <item x="330"/>
        <item x="314"/>
        <item x="390"/>
        <item x="338"/>
        <item x="12"/>
        <item x="343"/>
        <item x="10"/>
        <item x="328"/>
        <item x="288"/>
        <item x="248"/>
        <item x="442"/>
        <item x="271"/>
        <item x="449"/>
        <item x="56"/>
        <item x="374"/>
        <item x="354"/>
        <item x="164"/>
        <item x="89"/>
        <item x="312"/>
        <item x="440"/>
        <item x="470"/>
        <item x="392"/>
        <item x="102"/>
        <item x="190"/>
        <item x="468"/>
        <item x="417"/>
        <item x="227"/>
        <item x="321"/>
        <item x="447"/>
        <item x="421"/>
        <item x="179"/>
        <item x="378"/>
        <item x="413"/>
        <item x="292"/>
        <item x="436"/>
        <item x="438"/>
        <item x="369"/>
        <item x="53"/>
        <item x="473"/>
        <item x="345"/>
        <item x="94"/>
        <item x="471"/>
        <item x="63"/>
        <item x="432"/>
        <item x="187"/>
        <item x="317"/>
        <item x="459"/>
        <item x="207"/>
        <item x="143"/>
        <item x="405"/>
        <item x="37"/>
        <item x="310"/>
        <item x="181"/>
        <item x="104"/>
        <item x="74"/>
        <item x="267"/>
        <item x="367"/>
        <item x="406"/>
        <item x="395"/>
        <item x="137"/>
        <item x="27"/>
        <item x="410"/>
        <item x="472"/>
        <item x="57"/>
        <item x="346"/>
        <item x="75"/>
        <item x="411"/>
        <item x="437"/>
        <item x="68"/>
        <item x="368"/>
        <item x="387"/>
        <item x="193"/>
        <item x="84"/>
        <item x="370"/>
        <item x="172"/>
        <item x="242"/>
        <item x="62"/>
        <item x="168"/>
        <item x="79"/>
        <item x="304"/>
        <item x="375"/>
        <item x="105"/>
        <item x="218"/>
        <item x="332"/>
        <item x="125"/>
        <item x="400"/>
        <item x="241"/>
        <item x="291"/>
        <item x="325"/>
        <item x="230"/>
        <item x="391"/>
        <item x="264"/>
        <item x="300"/>
        <item x="477"/>
        <item x="290"/>
        <item x="73"/>
        <item x="334"/>
        <item x="386"/>
        <item x="13"/>
        <item x="128"/>
        <item x="216"/>
        <item x="423"/>
        <item x="54"/>
        <item x="268"/>
        <item x="29"/>
        <item x="458"/>
        <item x="171"/>
        <item x="88"/>
        <item x="270"/>
        <item x="327"/>
        <item x="15"/>
        <item x="176"/>
        <item x="40"/>
        <item x="372"/>
        <item x="283"/>
        <item x="130"/>
        <item x="103"/>
        <item x="23"/>
        <item x="67"/>
        <item x="250"/>
        <item x="284"/>
        <item x="450"/>
        <item x="14"/>
        <item x="83"/>
        <item x="233"/>
        <item x="66"/>
        <item x="408"/>
        <item x="208"/>
        <item x="220"/>
        <item x="43"/>
        <item x="214"/>
        <item x="21"/>
        <item x="265"/>
        <item x="236"/>
        <item x="33"/>
        <item x="431"/>
        <item x="302"/>
        <item x="86"/>
        <item x="452"/>
        <item x="205"/>
        <item x="252"/>
        <item x="341"/>
        <item x="426"/>
        <item x="239"/>
        <item x="276"/>
        <item x="136"/>
        <item x="155"/>
        <item x="90"/>
        <item x="112"/>
        <item x="333"/>
        <item x="309"/>
        <item x="235"/>
        <item x="358"/>
        <item x="20"/>
        <item x="195"/>
        <item x="466"/>
        <item x="460"/>
        <item x="398"/>
        <item x="189"/>
        <item x="356"/>
        <item x="46"/>
        <item x="224"/>
        <item x="474"/>
        <item x="59"/>
        <item x="444"/>
        <item x="44"/>
        <item x="221"/>
        <item x="457"/>
        <item x="198"/>
        <item x="377"/>
        <item x="293"/>
        <item x="420"/>
        <item x="380"/>
        <item x="443"/>
        <item x="331"/>
        <item x="382"/>
        <item x="182"/>
        <item x="22"/>
        <item x="246"/>
        <item x="194"/>
        <item x="107"/>
        <item x="282"/>
        <item x="165"/>
        <item x="403"/>
        <item x="357"/>
        <item x="134"/>
        <item x="229"/>
        <item x="281"/>
        <item x="11"/>
        <item x="42"/>
        <item x="129"/>
        <item x="217"/>
        <item x="435"/>
        <item x="465"/>
        <item x="215"/>
        <item x="428"/>
        <item x="258"/>
        <item x="219"/>
        <item x="24"/>
        <item x="77"/>
        <item x="384"/>
        <item x="439"/>
        <item x="144"/>
        <item x="50"/>
        <item x="363"/>
        <item x="249"/>
        <item x="280"/>
        <item x="113"/>
        <item x="245"/>
        <item x="336"/>
        <item x="48"/>
        <item x="451"/>
        <item x="365"/>
        <item x="100"/>
        <item x="139"/>
        <item x="206"/>
        <item x="360"/>
        <item x="361"/>
        <item x="247"/>
        <item x="93"/>
        <item x="70"/>
        <item x="199"/>
        <item x="311"/>
        <item x="154"/>
        <item x="118"/>
        <item x="131"/>
        <item x="385"/>
        <item x="407"/>
        <item x="464"/>
        <item x="243"/>
        <item x="340"/>
        <item x="7"/>
        <item x="106"/>
        <item x="286"/>
        <item x="425"/>
        <item x="266"/>
        <item x="28"/>
        <item x="277"/>
        <item x="335"/>
        <item x="253"/>
        <item x="289"/>
        <item x="275"/>
        <item x="34"/>
        <item x="305"/>
        <item x="120"/>
        <item x="348"/>
        <item x="65"/>
        <item x="273"/>
        <item x="161"/>
        <item x="418"/>
        <item x="160"/>
        <item x="71"/>
        <item x="188"/>
        <item x="152"/>
        <item x="469"/>
        <item x="203"/>
        <item x="201"/>
        <item x="272"/>
        <item x="211"/>
        <item x="274"/>
        <item x="453"/>
        <item x="308"/>
        <item x="434"/>
        <item x="202"/>
        <item x="260"/>
        <item x="351"/>
        <item x="373"/>
        <item x="147"/>
        <item x="39"/>
        <item x="133"/>
        <item x="419"/>
        <item x="316"/>
        <item x="262"/>
        <item x="299"/>
        <item x="409"/>
        <item x="318"/>
        <item x="17"/>
        <item x="232"/>
        <item x="141"/>
        <item x="114"/>
        <item x="295"/>
        <item x="396"/>
        <item x="315"/>
        <item x="279"/>
        <item x="355"/>
        <item x="61"/>
        <item x="148"/>
        <item x="95"/>
        <item x="145"/>
        <item x="359"/>
        <item x="200"/>
        <item x="162"/>
        <item x="151"/>
        <item x="25"/>
        <item x="35"/>
        <item x="123"/>
        <item x="38"/>
        <item x="19"/>
        <item x="467"/>
        <item x="196"/>
        <item x="36"/>
        <item x="294"/>
        <item x="98"/>
        <item x="397"/>
        <item x="337"/>
        <item x="60"/>
        <item x="116"/>
        <item x="115"/>
        <item x="237"/>
        <item x="210"/>
        <item x="307"/>
        <item x="319"/>
        <item x="109"/>
        <item x="296"/>
        <item x="140"/>
        <item x="402"/>
        <item x="26"/>
        <item x="69"/>
        <item x="197"/>
        <item x="92"/>
        <item x="394"/>
        <item x="223"/>
        <item x="222"/>
        <item x="97"/>
        <item x="441"/>
        <item x="87"/>
        <item x="108"/>
        <item x="52"/>
        <item x="159"/>
        <item x="303"/>
        <item x="448"/>
        <item x="158"/>
        <item x="446"/>
        <item x="463"/>
        <item x="135"/>
        <item x="234"/>
        <item x="257"/>
        <item x="231"/>
        <item x="126"/>
        <item t="default"/>
      </items>
    </pivotField>
    <pivotField numFmtId="22" showAll="0"/>
    <pivotField showAll="0"/>
    <pivotField showAll="0"/>
    <pivotField showAll="0"/>
    <pivotField showAll="0">
      <items count="13">
        <item x="9"/>
        <item x="7"/>
        <item x="10"/>
        <item x="8"/>
        <item x="0"/>
        <item x="2"/>
        <item x="1"/>
        <item x="11"/>
        <item x="5"/>
        <item x="3"/>
        <item x="4"/>
        <item x="6"/>
        <item t="default"/>
      </items>
    </pivotField>
    <pivotField dataField="1"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sortType="ascending">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autoSortScope>
        <pivotArea dataOnly="0" outline="0" fieldPosition="0">
          <references count="1">
            <reference field="4294967294" count="1" selected="0">
              <x v="0"/>
            </reference>
          </references>
        </pivotArea>
      </autoSortScope>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Items count="1">
    <i/>
  </rowItems>
  <colFields count="1">
    <field x="-2"/>
  </colFields>
  <colItems count="3">
    <i>
      <x/>
    </i>
    <i i="1">
      <x v="1"/>
    </i>
    <i i="2">
      <x v="2"/>
    </i>
  </colItems>
  <dataFields count="3">
    <dataField name="Revenue" fld="7" baseField="0" baseItem="1"/>
    <dataField name="Average" fld="7" subtotal="average" baseField="0" baseItem="1" numFmtId="2"/>
    <dataField name="Transaction" fld="13" subtotal="count" baseField="0" baseItem="1"/>
  </dataFields>
  <formats count="1">
    <format dxfId="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B4D08D-F2D6-42EF-937D-194E5DD44762}" name="PivotTable4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226:A227" firstHeaderRow="1" firstDataRow="1" firstDataCol="0"/>
  <pivotFields count="31">
    <pivotField numFmtId="22" showAll="0"/>
    <pivotField showAll="0"/>
    <pivotField showAll="0"/>
    <pivotField showAll="0"/>
    <pivotField showAll="0"/>
    <pivotField showAll="0"/>
    <pivotField showAll="0"/>
    <pivotField dataField="1"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Items count="1">
    <i/>
  </rowItems>
  <colItems count="1">
    <i/>
  </colItems>
  <dataFields count="1">
    <dataField name="Sum of FactoredProduct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69B72-D881-44B8-874F-B95A455C7CDF}"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7">
  <location ref="M63:O66" firstHeaderRow="0" firstDataRow="1" firstDataCol="1"/>
  <pivotFields count="31">
    <pivotField compact="0" numFmtId="22"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axis="axisRow"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8"/>
  </rowFields>
  <rowItems count="3">
    <i>
      <x/>
    </i>
    <i>
      <x v="1"/>
    </i>
    <i>
      <x v="2"/>
    </i>
  </rowItems>
  <colFields count="1">
    <field x="-2"/>
  </colFields>
  <colItems count="2">
    <i>
      <x/>
    </i>
    <i i="1">
      <x v="1"/>
    </i>
  </colItems>
  <dataFields count="2">
    <dataField name="Count of Opportunity ID" fld="1" subtotal="count" showDataAs="percentOfCol" baseField="13" baseItem="0" numFmtId="10"/>
    <dataField name="Count of Opportunity ID2" fld="1" subtotal="count" baseField="1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29B70B-1A04-47AB-8513-D5D93395D8BA}" name="PivotTable4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8">
  <location ref="A231:CX245" firstHeaderRow="1" firstDataRow="2" firstDataCol="1"/>
  <pivotFields count="31">
    <pivotField numFmtId="22" showAll="0"/>
    <pivotField showAll="0"/>
    <pivotField showAll="0"/>
    <pivotField showAll="0"/>
    <pivotField showAll="0"/>
    <pivotField showAll="0"/>
    <pivotField showAll="0"/>
    <pivotField showAll="0"/>
    <pivotField numFmtId="22" showAll="0"/>
    <pivotField showAll="0"/>
    <pivotField showAll="0"/>
    <pivotField showAll="0"/>
    <pivotField axis="axisRow"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axis="axisCol"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ataField="1" dragToRow="0" dragToCol="0" dragToPage="0" showAll="0" defaultSubtotal="0"/>
    <pivotField dragToRow="0" dragToCol="0" dragToPage="0" showAll="0" defaultSubtotal="0"/>
  </pivotFields>
  <rowFields count="1">
    <field x="12"/>
  </rowFields>
  <rowItems count="13">
    <i>
      <x/>
    </i>
    <i>
      <x v="1"/>
    </i>
    <i>
      <x v="2"/>
    </i>
    <i>
      <x v="3"/>
    </i>
    <i>
      <x v="4"/>
    </i>
    <i>
      <x v="5"/>
    </i>
    <i>
      <x v="6"/>
    </i>
    <i>
      <x v="7"/>
    </i>
    <i>
      <x v="8"/>
    </i>
    <i>
      <x v="9"/>
    </i>
    <i>
      <x v="10"/>
    </i>
    <i>
      <x v="11"/>
    </i>
    <i t="grand">
      <x/>
    </i>
  </rowItems>
  <colFields count="1">
    <field x="20"/>
  </colFields>
  <col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colItems>
  <dataFields count="1">
    <dataField name="Sum of Field1" fld="29" baseField="0" baseItem="0"/>
  </dataFields>
  <formats count="1">
    <format dxfId="3">
      <pivotArea grandRow="1" outline="0" collapsedLevelsAreSubtotals="1" fieldPosition="0"/>
    </format>
  </formats>
  <chartFormats count="101">
    <chartFormat chart="87" format="401" series="1">
      <pivotArea type="data" outline="0" fieldPosition="0">
        <references count="2">
          <reference field="4294967294" count="1" selected="0">
            <x v="0"/>
          </reference>
          <reference field="20" count="1" selected="0">
            <x v="0"/>
          </reference>
        </references>
      </pivotArea>
    </chartFormat>
    <chartFormat chart="87" format="402" series="1">
      <pivotArea type="data" outline="0" fieldPosition="0">
        <references count="2">
          <reference field="4294967294" count="1" selected="0">
            <x v="0"/>
          </reference>
          <reference field="20" count="1" selected="0">
            <x v="1"/>
          </reference>
        </references>
      </pivotArea>
    </chartFormat>
    <chartFormat chart="87" format="403" series="1">
      <pivotArea type="data" outline="0" fieldPosition="0">
        <references count="2">
          <reference field="4294967294" count="1" selected="0">
            <x v="0"/>
          </reference>
          <reference field="20" count="1" selected="0">
            <x v="2"/>
          </reference>
        </references>
      </pivotArea>
    </chartFormat>
    <chartFormat chart="87" format="404" series="1">
      <pivotArea type="data" outline="0" fieldPosition="0">
        <references count="2">
          <reference field="4294967294" count="1" selected="0">
            <x v="0"/>
          </reference>
          <reference field="20" count="1" selected="0">
            <x v="3"/>
          </reference>
        </references>
      </pivotArea>
    </chartFormat>
    <chartFormat chart="87" format="405" series="1">
      <pivotArea type="data" outline="0" fieldPosition="0">
        <references count="2">
          <reference field="4294967294" count="1" selected="0">
            <x v="0"/>
          </reference>
          <reference field="20" count="1" selected="0">
            <x v="4"/>
          </reference>
        </references>
      </pivotArea>
    </chartFormat>
    <chartFormat chart="87" format="406" series="1">
      <pivotArea type="data" outline="0" fieldPosition="0">
        <references count="2">
          <reference field="4294967294" count="1" selected="0">
            <x v="0"/>
          </reference>
          <reference field="20" count="1" selected="0">
            <x v="5"/>
          </reference>
        </references>
      </pivotArea>
    </chartFormat>
    <chartFormat chart="87" format="407" series="1">
      <pivotArea type="data" outline="0" fieldPosition="0">
        <references count="2">
          <reference field="4294967294" count="1" selected="0">
            <x v="0"/>
          </reference>
          <reference field="20" count="1" selected="0">
            <x v="6"/>
          </reference>
        </references>
      </pivotArea>
    </chartFormat>
    <chartFormat chart="87" format="408" series="1">
      <pivotArea type="data" outline="0" fieldPosition="0">
        <references count="2">
          <reference field="4294967294" count="1" selected="0">
            <x v="0"/>
          </reference>
          <reference field="20" count="1" selected="0">
            <x v="7"/>
          </reference>
        </references>
      </pivotArea>
    </chartFormat>
    <chartFormat chart="87" format="409" series="1">
      <pivotArea type="data" outline="0" fieldPosition="0">
        <references count="2">
          <reference field="4294967294" count="1" selected="0">
            <x v="0"/>
          </reference>
          <reference field="20" count="1" selected="0">
            <x v="8"/>
          </reference>
        </references>
      </pivotArea>
    </chartFormat>
    <chartFormat chart="87" format="410" series="1">
      <pivotArea type="data" outline="0" fieldPosition="0">
        <references count="2">
          <reference field="4294967294" count="1" selected="0">
            <x v="0"/>
          </reference>
          <reference field="20" count="1" selected="0">
            <x v="9"/>
          </reference>
        </references>
      </pivotArea>
    </chartFormat>
    <chartFormat chart="87" format="411" series="1">
      <pivotArea type="data" outline="0" fieldPosition="0">
        <references count="2">
          <reference field="4294967294" count="1" selected="0">
            <x v="0"/>
          </reference>
          <reference field="20" count="1" selected="0">
            <x v="10"/>
          </reference>
        </references>
      </pivotArea>
    </chartFormat>
    <chartFormat chart="87" format="412" series="1">
      <pivotArea type="data" outline="0" fieldPosition="0">
        <references count="2">
          <reference field="4294967294" count="1" selected="0">
            <x v="0"/>
          </reference>
          <reference field="20" count="1" selected="0">
            <x v="11"/>
          </reference>
        </references>
      </pivotArea>
    </chartFormat>
    <chartFormat chart="87" format="413" series="1">
      <pivotArea type="data" outline="0" fieldPosition="0">
        <references count="2">
          <reference field="4294967294" count="1" selected="0">
            <x v="0"/>
          </reference>
          <reference field="20" count="1" selected="0">
            <x v="12"/>
          </reference>
        </references>
      </pivotArea>
    </chartFormat>
    <chartFormat chart="87" format="414" series="1">
      <pivotArea type="data" outline="0" fieldPosition="0">
        <references count="2">
          <reference field="4294967294" count="1" selected="0">
            <x v="0"/>
          </reference>
          <reference field="20" count="1" selected="0">
            <x v="13"/>
          </reference>
        </references>
      </pivotArea>
    </chartFormat>
    <chartFormat chart="87" format="415" series="1">
      <pivotArea type="data" outline="0" fieldPosition="0">
        <references count="2">
          <reference field="4294967294" count="1" selected="0">
            <x v="0"/>
          </reference>
          <reference field="20" count="1" selected="0">
            <x v="14"/>
          </reference>
        </references>
      </pivotArea>
    </chartFormat>
    <chartFormat chart="87" format="416" series="1">
      <pivotArea type="data" outline="0" fieldPosition="0">
        <references count="2">
          <reference field="4294967294" count="1" selected="0">
            <x v="0"/>
          </reference>
          <reference field="20" count="1" selected="0">
            <x v="15"/>
          </reference>
        </references>
      </pivotArea>
    </chartFormat>
    <chartFormat chart="87" format="417" series="1">
      <pivotArea type="data" outline="0" fieldPosition="0">
        <references count="2">
          <reference field="4294967294" count="1" selected="0">
            <x v="0"/>
          </reference>
          <reference field="20" count="1" selected="0">
            <x v="16"/>
          </reference>
        </references>
      </pivotArea>
    </chartFormat>
    <chartFormat chart="87" format="418" series="1">
      <pivotArea type="data" outline="0" fieldPosition="0">
        <references count="2">
          <reference field="4294967294" count="1" selected="0">
            <x v="0"/>
          </reference>
          <reference field="20" count="1" selected="0">
            <x v="17"/>
          </reference>
        </references>
      </pivotArea>
    </chartFormat>
    <chartFormat chart="87" format="419" series="1">
      <pivotArea type="data" outline="0" fieldPosition="0">
        <references count="2">
          <reference field="4294967294" count="1" selected="0">
            <x v="0"/>
          </reference>
          <reference field="20" count="1" selected="0">
            <x v="18"/>
          </reference>
        </references>
      </pivotArea>
    </chartFormat>
    <chartFormat chart="87" format="420" series="1">
      <pivotArea type="data" outline="0" fieldPosition="0">
        <references count="2">
          <reference field="4294967294" count="1" selected="0">
            <x v="0"/>
          </reference>
          <reference field="20" count="1" selected="0">
            <x v="19"/>
          </reference>
        </references>
      </pivotArea>
    </chartFormat>
    <chartFormat chart="87" format="421" series="1">
      <pivotArea type="data" outline="0" fieldPosition="0">
        <references count="2">
          <reference field="4294967294" count="1" selected="0">
            <x v="0"/>
          </reference>
          <reference field="20" count="1" selected="0">
            <x v="20"/>
          </reference>
        </references>
      </pivotArea>
    </chartFormat>
    <chartFormat chart="87" format="422" series="1">
      <pivotArea type="data" outline="0" fieldPosition="0">
        <references count="2">
          <reference field="4294967294" count="1" selected="0">
            <x v="0"/>
          </reference>
          <reference field="20" count="1" selected="0">
            <x v="21"/>
          </reference>
        </references>
      </pivotArea>
    </chartFormat>
    <chartFormat chart="87" format="423" series="1">
      <pivotArea type="data" outline="0" fieldPosition="0">
        <references count="2">
          <reference field="4294967294" count="1" selected="0">
            <x v="0"/>
          </reference>
          <reference field="20" count="1" selected="0">
            <x v="22"/>
          </reference>
        </references>
      </pivotArea>
    </chartFormat>
    <chartFormat chart="87" format="424" series="1">
      <pivotArea type="data" outline="0" fieldPosition="0">
        <references count="2">
          <reference field="4294967294" count="1" selected="0">
            <x v="0"/>
          </reference>
          <reference field="20" count="1" selected="0">
            <x v="23"/>
          </reference>
        </references>
      </pivotArea>
    </chartFormat>
    <chartFormat chart="87" format="425" series="1">
      <pivotArea type="data" outline="0" fieldPosition="0">
        <references count="2">
          <reference field="4294967294" count="1" selected="0">
            <x v="0"/>
          </reference>
          <reference field="20" count="1" selected="0">
            <x v="24"/>
          </reference>
        </references>
      </pivotArea>
    </chartFormat>
    <chartFormat chart="87" format="426" series="1">
      <pivotArea type="data" outline="0" fieldPosition="0">
        <references count="2">
          <reference field="4294967294" count="1" selected="0">
            <x v="0"/>
          </reference>
          <reference field="20" count="1" selected="0">
            <x v="25"/>
          </reference>
        </references>
      </pivotArea>
    </chartFormat>
    <chartFormat chart="87" format="427" series="1">
      <pivotArea type="data" outline="0" fieldPosition="0">
        <references count="2">
          <reference field="4294967294" count="1" selected="0">
            <x v="0"/>
          </reference>
          <reference field="20" count="1" selected="0">
            <x v="26"/>
          </reference>
        </references>
      </pivotArea>
    </chartFormat>
    <chartFormat chart="87" format="428" series="1">
      <pivotArea type="data" outline="0" fieldPosition="0">
        <references count="2">
          <reference field="4294967294" count="1" selected="0">
            <x v="0"/>
          </reference>
          <reference field="20" count="1" selected="0">
            <x v="27"/>
          </reference>
        </references>
      </pivotArea>
    </chartFormat>
    <chartFormat chart="87" format="429" series="1">
      <pivotArea type="data" outline="0" fieldPosition="0">
        <references count="2">
          <reference field="4294967294" count="1" selected="0">
            <x v="0"/>
          </reference>
          <reference field="20" count="1" selected="0">
            <x v="28"/>
          </reference>
        </references>
      </pivotArea>
    </chartFormat>
    <chartFormat chart="87" format="430" series="1">
      <pivotArea type="data" outline="0" fieldPosition="0">
        <references count="2">
          <reference field="4294967294" count="1" selected="0">
            <x v="0"/>
          </reference>
          <reference field="20" count="1" selected="0">
            <x v="29"/>
          </reference>
        </references>
      </pivotArea>
    </chartFormat>
    <chartFormat chart="87" format="431" series="1">
      <pivotArea type="data" outline="0" fieldPosition="0">
        <references count="2">
          <reference field="4294967294" count="1" selected="0">
            <x v="0"/>
          </reference>
          <reference field="20" count="1" selected="0">
            <x v="30"/>
          </reference>
        </references>
      </pivotArea>
    </chartFormat>
    <chartFormat chart="87" format="432" series="1">
      <pivotArea type="data" outline="0" fieldPosition="0">
        <references count="2">
          <reference field="4294967294" count="1" selected="0">
            <x v="0"/>
          </reference>
          <reference field="20" count="1" selected="0">
            <x v="31"/>
          </reference>
        </references>
      </pivotArea>
    </chartFormat>
    <chartFormat chart="87" format="433" series="1">
      <pivotArea type="data" outline="0" fieldPosition="0">
        <references count="2">
          <reference field="4294967294" count="1" selected="0">
            <x v="0"/>
          </reference>
          <reference field="20" count="1" selected="0">
            <x v="32"/>
          </reference>
        </references>
      </pivotArea>
    </chartFormat>
    <chartFormat chart="87" format="434" series="1">
      <pivotArea type="data" outline="0" fieldPosition="0">
        <references count="2">
          <reference field="4294967294" count="1" selected="0">
            <x v="0"/>
          </reference>
          <reference field="20" count="1" selected="0">
            <x v="33"/>
          </reference>
        </references>
      </pivotArea>
    </chartFormat>
    <chartFormat chart="87" format="435" series="1">
      <pivotArea type="data" outline="0" fieldPosition="0">
        <references count="2">
          <reference field="4294967294" count="1" selected="0">
            <x v="0"/>
          </reference>
          <reference field="20" count="1" selected="0">
            <x v="34"/>
          </reference>
        </references>
      </pivotArea>
    </chartFormat>
    <chartFormat chart="87" format="436" series="1">
      <pivotArea type="data" outline="0" fieldPosition="0">
        <references count="2">
          <reference field="4294967294" count="1" selected="0">
            <x v="0"/>
          </reference>
          <reference field="20" count="1" selected="0">
            <x v="35"/>
          </reference>
        </references>
      </pivotArea>
    </chartFormat>
    <chartFormat chart="87" format="437" series="1">
      <pivotArea type="data" outline="0" fieldPosition="0">
        <references count="2">
          <reference field="4294967294" count="1" selected="0">
            <x v="0"/>
          </reference>
          <reference field="20" count="1" selected="0">
            <x v="36"/>
          </reference>
        </references>
      </pivotArea>
    </chartFormat>
    <chartFormat chart="87" format="438" series="1">
      <pivotArea type="data" outline="0" fieldPosition="0">
        <references count="2">
          <reference field="4294967294" count="1" selected="0">
            <x v="0"/>
          </reference>
          <reference field="20" count="1" selected="0">
            <x v="37"/>
          </reference>
        </references>
      </pivotArea>
    </chartFormat>
    <chartFormat chart="87" format="439" series="1">
      <pivotArea type="data" outline="0" fieldPosition="0">
        <references count="2">
          <reference field="4294967294" count="1" selected="0">
            <x v="0"/>
          </reference>
          <reference field="20" count="1" selected="0">
            <x v="38"/>
          </reference>
        </references>
      </pivotArea>
    </chartFormat>
    <chartFormat chart="87" format="440" series="1">
      <pivotArea type="data" outline="0" fieldPosition="0">
        <references count="2">
          <reference field="4294967294" count="1" selected="0">
            <x v="0"/>
          </reference>
          <reference field="20" count="1" selected="0">
            <x v="39"/>
          </reference>
        </references>
      </pivotArea>
    </chartFormat>
    <chartFormat chart="87" format="441" series="1">
      <pivotArea type="data" outline="0" fieldPosition="0">
        <references count="2">
          <reference field="4294967294" count="1" selected="0">
            <x v="0"/>
          </reference>
          <reference field="20" count="1" selected="0">
            <x v="40"/>
          </reference>
        </references>
      </pivotArea>
    </chartFormat>
    <chartFormat chart="87" format="442" series="1">
      <pivotArea type="data" outline="0" fieldPosition="0">
        <references count="2">
          <reference field="4294967294" count="1" selected="0">
            <x v="0"/>
          </reference>
          <reference field="20" count="1" selected="0">
            <x v="41"/>
          </reference>
        </references>
      </pivotArea>
    </chartFormat>
    <chartFormat chart="87" format="443" series="1">
      <pivotArea type="data" outline="0" fieldPosition="0">
        <references count="2">
          <reference field="4294967294" count="1" selected="0">
            <x v="0"/>
          </reference>
          <reference field="20" count="1" selected="0">
            <x v="42"/>
          </reference>
        </references>
      </pivotArea>
    </chartFormat>
    <chartFormat chart="87" format="444" series="1">
      <pivotArea type="data" outline="0" fieldPosition="0">
        <references count="2">
          <reference field="4294967294" count="1" selected="0">
            <x v="0"/>
          </reference>
          <reference field="20" count="1" selected="0">
            <x v="43"/>
          </reference>
        </references>
      </pivotArea>
    </chartFormat>
    <chartFormat chart="87" format="445" series="1">
      <pivotArea type="data" outline="0" fieldPosition="0">
        <references count="2">
          <reference field="4294967294" count="1" selected="0">
            <x v="0"/>
          </reference>
          <reference field="20" count="1" selected="0">
            <x v="44"/>
          </reference>
        </references>
      </pivotArea>
    </chartFormat>
    <chartFormat chart="87" format="446" series="1">
      <pivotArea type="data" outline="0" fieldPosition="0">
        <references count="2">
          <reference field="4294967294" count="1" selected="0">
            <x v="0"/>
          </reference>
          <reference field="20" count="1" selected="0">
            <x v="45"/>
          </reference>
        </references>
      </pivotArea>
    </chartFormat>
    <chartFormat chart="87" format="447" series="1">
      <pivotArea type="data" outline="0" fieldPosition="0">
        <references count="2">
          <reference field="4294967294" count="1" selected="0">
            <x v="0"/>
          </reference>
          <reference field="20" count="1" selected="0">
            <x v="46"/>
          </reference>
        </references>
      </pivotArea>
    </chartFormat>
    <chartFormat chart="87" format="448" series="1">
      <pivotArea type="data" outline="0" fieldPosition="0">
        <references count="2">
          <reference field="4294967294" count="1" selected="0">
            <x v="0"/>
          </reference>
          <reference field="20" count="1" selected="0">
            <x v="47"/>
          </reference>
        </references>
      </pivotArea>
    </chartFormat>
    <chartFormat chart="87" format="449" series="1">
      <pivotArea type="data" outline="0" fieldPosition="0">
        <references count="2">
          <reference field="4294967294" count="1" selected="0">
            <x v="0"/>
          </reference>
          <reference field="20" count="1" selected="0">
            <x v="48"/>
          </reference>
        </references>
      </pivotArea>
    </chartFormat>
    <chartFormat chart="87" format="450" series="1">
      <pivotArea type="data" outline="0" fieldPosition="0">
        <references count="2">
          <reference field="4294967294" count="1" selected="0">
            <x v="0"/>
          </reference>
          <reference field="20" count="1" selected="0">
            <x v="49"/>
          </reference>
        </references>
      </pivotArea>
    </chartFormat>
    <chartFormat chart="87" format="451" series="1">
      <pivotArea type="data" outline="0" fieldPosition="0">
        <references count="2">
          <reference field="4294967294" count="1" selected="0">
            <x v="0"/>
          </reference>
          <reference field="20" count="1" selected="0">
            <x v="50"/>
          </reference>
        </references>
      </pivotArea>
    </chartFormat>
    <chartFormat chart="87" format="452" series="1">
      <pivotArea type="data" outline="0" fieldPosition="0">
        <references count="2">
          <reference field="4294967294" count="1" selected="0">
            <x v="0"/>
          </reference>
          <reference field="20" count="1" selected="0">
            <x v="51"/>
          </reference>
        </references>
      </pivotArea>
    </chartFormat>
    <chartFormat chart="87" format="453" series="1">
      <pivotArea type="data" outline="0" fieldPosition="0">
        <references count="2">
          <reference field="4294967294" count="1" selected="0">
            <x v="0"/>
          </reference>
          <reference field="20" count="1" selected="0">
            <x v="52"/>
          </reference>
        </references>
      </pivotArea>
    </chartFormat>
    <chartFormat chart="87" format="454" series="1">
      <pivotArea type="data" outline="0" fieldPosition="0">
        <references count="2">
          <reference field="4294967294" count="1" selected="0">
            <x v="0"/>
          </reference>
          <reference field="20" count="1" selected="0">
            <x v="53"/>
          </reference>
        </references>
      </pivotArea>
    </chartFormat>
    <chartFormat chart="87" format="455" series="1">
      <pivotArea type="data" outline="0" fieldPosition="0">
        <references count="2">
          <reference field="4294967294" count="1" selected="0">
            <x v="0"/>
          </reference>
          <reference field="20" count="1" selected="0">
            <x v="54"/>
          </reference>
        </references>
      </pivotArea>
    </chartFormat>
    <chartFormat chart="87" format="456" series="1">
      <pivotArea type="data" outline="0" fieldPosition="0">
        <references count="2">
          <reference field="4294967294" count="1" selected="0">
            <x v="0"/>
          </reference>
          <reference field="20" count="1" selected="0">
            <x v="55"/>
          </reference>
        </references>
      </pivotArea>
    </chartFormat>
    <chartFormat chart="87" format="457" series="1">
      <pivotArea type="data" outline="0" fieldPosition="0">
        <references count="2">
          <reference field="4294967294" count="1" selected="0">
            <x v="0"/>
          </reference>
          <reference field="20" count="1" selected="0">
            <x v="56"/>
          </reference>
        </references>
      </pivotArea>
    </chartFormat>
    <chartFormat chart="87" format="458" series="1">
      <pivotArea type="data" outline="0" fieldPosition="0">
        <references count="2">
          <reference field="4294967294" count="1" selected="0">
            <x v="0"/>
          </reference>
          <reference field="20" count="1" selected="0">
            <x v="57"/>
          </reference>
        </references>
      </pivotArea>
    </chartFormat>
    <chartFormat chart="87" format="459" series="1">
      <pivotArea type="data" outline="0" fieldPosition="0">
        <references count="2">
          <reference field="4294967294" count="1" selected="0">
            <x v="0"/>
          </reference>
          <reference field="20" count="1" selected="0">
            <x v="58"/>
          </reference>
        </references>
      </pivotArea>
    </chartFormat>
    <chartFormat chart="87" format="460" series="1">
      <pivotArea type="data" outline="0" fieldPosition="0">
        <references count="2">
          <reference field="4294967294" count="1" selected="0">
            <x v="0"/>
          </reference>
          <reference field="20" count="1" selected="0">
            <x v="59"/>
          </reference>
        </references>
      </pivotArea>
    </chartFormat>
    <chartFormat chart="87" format="461" series="1">
      <pivotArea type="data" outline="0" fieldPosition="0">
        <references count="2">
          <reference field="4294967294" count="1" selected="0">
            <x v="0"/>
          </reference>
          <reference field="20" count="1" selected="0">
            <x v="60"/>
          </reference>
        </references>
      </pivotArea>
    </chartFormat>
    <chartFormat chart="87" format="462" series="1">
      <pivotArea type="data" outline="0" fieldPosition="0">
        <references count="2">
          <reference field="4294967294" count="1" selected="0">
            <x v="0"/>
          </reference>
          <reference field="20" count="1" selected="0">
            <x v="61"/>
          </reference>
        </references>
      </pivotArea>
    </chartFormat>
    <chartFormat chart="87" format="463" series="1">
      <pivotArea type="data" outline="0" fieldPosition="0">
        <references count="2">
          <reference field="4294967294" count="1" selected="0">
            <x v="0"/>
          </reference>
          <reference field="20" count="1" selected="0">
            <x v="62"/>
          </reference>
        </references>
      </pivotArea>
    </chartFormat>
    <chartFormat chart="87" format="464" series="1">
      <pivotArea type="data" outline="0" fieldPosition="0">
        <references count="2">
          <reference field="4294967294" count="1" selected="0">
            <x v="0"/>
          </reference>
          <reference field="20" count="1" selected="0">
            <x v="63"/>
          </reference>
        </references>
      </pivotArea>
    </chartFormat>
    <chartFormat chart="87" format="465" series="1">
      <pivotArea type="data" outline="0" fieldPosition="0">
        <references count="2">
          <reference field="4294967294" count="1" selected="0">
            <x v="0"/>
          </reference>
          <reference field="20" count="1" selected="0">
            <x v="64"/>
          </reference>
        </references>
      </pivotArea>
    </chartFormat>
    <chartFormat chart="87" format="466" series="1">
      <pivotArea type="data" outline="0" fieldPosition="0">
        <references count="2">
          <reference field="4294967294" count="1" selected="0">
            <x v="0"/>
          </reference>
          <reference field="20" count="1" selected="0">
            <x v="65"/>
          </reference>
        </references>
      </pivotArea>
    </chartFormat>
    <chartFormat chart="87" format="467" series="1">
      <pivotArea type="data" outline="0" fieldPosition="0">
        <references count="2">
          <reference field="4294967294" count="1" selected="0">
            <x v="0"/>
          </reference>
          <reference field="20" count="1" selected="0">
            <x v="66"/>
          </reference>
        </references>
      </pivotArea>
    </chartFormat>
    <chartFormat chart="87" format="468" series="1">
      <pivotArea type="data" outline="0" fieldPosition="0">
        <references count="2">
          <reference field="4294967294" count="1" selected="0">
            <x v="0"/>
          </reference>
          <reference field="20" count="1" selected="0">
            <x v="67"/>
          </reference>
        </references>
      </pivotArea>
    </chartFormat>
    <chartFormat chart="87" format="469" series="1">
      <pivotArea type="data" outline="0" fieldPosition="0">
        <references count="2">
          <reference field="4294967294" count="1" selected="0">
            <x v="0"/>
          </reference>
          <reference field="20" count="1" selected="0">
            <x v="68"/>
          </reference>
        </references>
      </pivotArea>
    </chartFormat>
    <chartFormat chart="87" format="470" series="1">
      <pivotArea type="data" outline="0" fieldPosition="0">
        <references count="2">
          <reference field="4294967294" count="1" selected="0">
            <x v="0"/>
          </reference>
          <reference field="20" count="1" selected="0">
            <x v="69"/>
          </reference>
        </references>
      </pivotArea>
    </chartFormat>
    <chartFormat chart="87" format="471" series="1">
      <pivotArea type="data" outline="0" fieldPosition="0">
        <references count="2">
          <reference field="4294967294" count="1" selected="0">
            <x v="0"/>
          </reference>
          <reference field="20" count="1" selected="0">
            <x v="70"/>
          </reference>
        </references>
      </pivotArea>
    </chartFormat>
    <chartFormat chart="87" format="472" series="1">
      <pivotArea type="data" outline="0" fieldPosition="0">
        <references count="2">
          <reference field="4294967294" count="1" selected="0">
            <x v="0"/>
          </reference>
          <reference field="20" count="1" selected="0">
            <x v="71"/>
          </reference>
        </references>
      </pivotArea>
    </chartFormat>
    <chartFormat chart="87" format="473" series="1">
      <pivotArea type="data" outline="0" fieldPosition="0">
        <references count="2">
          <reference field="4294967294" count="1" selected="0">
            <x v="0"/>
          </reference>
          <reference field="20" count="1" selected="0">
            <x v="72"/>
          </reference>
        </references>
      </pivotArea>
    </chartFormat>
    <chartFormat chart="87" format="474" series="1">
      <pivotArea type="data" outline="0" fieldPosition="0">
        <references count="2">
          <reference field="4294967294" count="1" selected="0">
            <x v="0"/>
          </reference>
          <reference field="20" count="1" selected="0">
            <x v="73"/>
          </reference>
        </references>
      </pivotArea>
    </chartFormat>
    <chartFormat chart="87" format="475" series="1">
      <pivotArea type="data" outline="0" fieldPosition="0">
        <references count="2">
          <reference field="4294967294" count="1" selected="0">
            <x v="0"/>
          </reference>
          <reference field="20" count="1" selected="0">
            <x v="74"/>
          </reference>
        </references>
      </pivotArea>
    </chartFormat>
    <chartFormat chart="87" format="476" series="1">
      <pivotArea type="data" outline="0" fieldPosition="0">
        <references count="2">
          <reference field="4294967294" count="1" selected="0">
            <x v="0"/>
          </reference>
          <reference field="20" count="1" selected="0">
            <x v="75"/>
          </reference>
        </references>
      </pivotArea>
    </chartFormat>
    <chartFormat chart="87" format="477" series="1">
      <pivotArea type="data" outline="0" fieldPosition="0">
        <references count="2">
          <reference field="4294967294" count="1" selected="0">
            <x v="0"/>
          </reference>
          <reference field="20" count="1" selected="0">
            <x v="76"/>
          </reference>
        </references>
      </pivotArea>
    </chartFormat>
    <chartFormat chart="87" format="478" series="1">
      <pivotArea type="data" outline="0" fieldPosition="0">
        <references count="2">
          <reference field="4294967294" count="1" selected="0">
            <x v="0"/>
          </reference>
          <reference field="20" count="1" selected="0">
            <x v="77"/>
          </reference>
        </references>
      </pivotArea>
    </chartFormat>
    <chartFormat chart="87" format="479" series="1">
      <pivotArea type="data" outline="0" fieldPosition="0">
        <references count="2">
          <reference field="4294967294" count="1" selected="0">
            <x v="0"/>
          </reference>
          <reference field="20" count="1" selected="0">
            <x v="78"/>
          </reference>
        </references>
      </pivotArea>
    </chartFormat>
    <chartFormat chart="87" format="480" series="1">
      <pivotArea type="data" outline="0" fieldPosition="0">
        <references count="2">
          <reference field="4294967294" count="1" selected="0">
            <x v="0"/>
          </reference>
          <reference field="20" count="1" selected="0">
            <x v="79"/>
          </reference>
        </references>
      </pivotArea>
    </chartFormat>
    <chartFormat chart="87" format="481" series="1">
      <pivotArea type="data" outline="0" fieldPosition="0">
        <references count="2">
          <reference field="4294967294" count="1" selected="0">
            <x v="0"/>
          </reference>
          <reference field="20" count="1" selected="0">
            <x v="80"/>
          </reference>
        </references>
      </pivotArea>
    </chartFormat>
    <chartFormat chart="87" format="482" series="1">
      <pivotArea type="data" outline="0" fieldPosition="0">
        <references count="2">
          <reference field="4294967294" count="1" selected="0">
            <x v="0"/>
          </reference>
          <reference field="20" count="1" selected="0">
            <x v="81"/>
          </reference>
        </references>
      </pivotArea>
    </chartFormat>
    <chartFormat chart="87" format="483" series="1">
      <pivotArea type="data" outline="0" fieldPosition="0">
        <references count="2">
          <reference field="4294967294" count="1" selected="0">
            <x v="0"/>
          </reference>
          <reference field="20" count="1" selected="0">
            <x v="82"/>
          </reference>
        </references>
      </pivotArea>
    </chartFormat>
    <chartFormat chart="87" format="484" series="1">
      <pivotArea type="data" outline="0" fieldPosition="0">
        <references count="2">
          <reference field="4294967294" count="1" selected="0">
            <x v="0"/>
          </reference>
          <reference field="20" count="1" selected="0">
            <x v="83"/>
          </reference>
        </references>
      </pivotArea>
    </chartFormat>
    <chartFormat chart="87" format="485" series="1">
      <pivotArea type="data" outline="0" fieldPosition="0">
        <references count="2">
          <reference field="4294967294" count="1" selected="0">
            <x v="0"/>
          </reference>
          <reference field="20" count="1" selected="0">
            <x v="84"/>
          </reference>
        </references>
      </pivotArea>
    </chartFormat>
    <chartFormat chart="87" format="486" series="1">
      <pivotArea type="data" outline="0" fieldPosition="0">
        <references count="2">
          <reference field="4294967294" count="1" selected="0">
            <x v="0"/>
          </reference>
          <reference field="20" count="1" selected="0">
            <x v="85"/>
          </reference>
        </references>
      </pivotArea>
    </chartFormat>
    <chartFormat chart="87" format="487" series="1">
      <pivotArea type="data" outline="0" fieldPosition="0">
        <references count="2">
          <reference field="4294967294" count="1" selected="0">
            <x v="0"/>
          </reference>
          <reference field="20" count="1" selected="0">
            <x v="86"/>
          </reference>
        </references>
      </pivotArea>
    </chartFormat>
    <chartFormat chart="87" format="488" series="1">
      <pivotArea type="data" outline="0" fieldPosition="0">
        <references count="2">
          <reference field="4294967294" count="1" selected="0">
            <x v="0"/>
          </reference>
          <reference field="20" count="1" selected="0">
            <x v="87"/>
          </reference>
        </references>
      </pivotArea>
    </chartFormat>
    <chartFormat chart="87" format="489" series="1">
      <pivotArea type="data" outline="0" fieldPosition="0">
        <references count="2">
          <reference field="4294967294" count="1" selected="0">
            <x v="0"/>
          </reference>
          <reference field="20" count="1" selected="0">
            <x v="88"/>
          </reference>
        </references>
      </pivotArea>
    </chartFormat>
    <chartFormat chart="87" format="490" series="1">
      <pivotArea type="data" outline="0" fieldPosition="0">
        <references count="2">
          <reference field="4294967294" count="1" selected="0">
            <x v="0"/>
          </reference>
          <reference field="20" count="1" selected="0">
            <x v="89"/>
          </reference>
        </references>
      </pivotArea>
    </chartFormat>
    <chartFormat chart="87" format="491" series="1">
      <pivotArea type="data" outline="0" fieldPosition="0">
        <references count="2">
          <reference field="4294967294" count="1" selected="0">
            <x v="0"/>
          </reference>
          <reference field="20" count="1" selected="0">
            <x v="90"/>
          </reference>
        </references>
      </pivotArea>
    </chartFormat>
    <chartFormat chart="87" format="492" series="1">
      <pivotArea type="data" outline="0" fieldPosition="0">
        <references count="2">
          <reference field="4294967294" count="1" selected="0">
            <x v="0"/>
          </reference>
          <reference field="20" count="1" selected="0">
            <x v="91"/>
          </reference>
        </references>
      </pivotArea>
    </chartFormat>
    <chartFormat chart="87" format="493" series="1">
      <pivotArea type="data" outline="0" fieldPosition="0">
        <references count="2">
          <reference field="4294967294" count="1" selected="0">
            <x v="0"/>
          </reference>
          <reference field="20" count="1" selected="0">
            <x v="92"/>
          </reference>
        </references>
      </pivotArea>
    </chartFormat>
    <chartFormat chart="87" format="494" series="1">
      <pivotArea type="data" outline="0" fieldPosition="0">
        <references count="2">
          <reference field="4294967294" count="1" selected="0">
            <x v="0"/>
          </reference>
          <reference field="20" count="1" selected="0">
            <x v="93"/>
          </reference>
        </references>
      </pivotArea>
    </chartFormat>
    <chartFormat chart="87" format="495" series="1">
      <pivotArea type="data" outline="0" fieldPosition="0">
        <references count="2">
          <reference field="4294967294" count="1" selected="0">
            <x v="0"/>
          </reference>
          <reference field="20" count="1" selected="0">
            <x v="94"/>
          </reference>
        </references>
      </pivotArea>
    </chartFormat>
    <chartFormat chart="87" format="496" series="1">
      <pivotArea type="data" outline="0" fieldPosition="0">
        <references count="2">
          <reference field="4294967294" count="1" selected="0">
            <x v="0"/>
          </reference>
          <reference field="20" count="1" selected="0">
            <x v="95"/>
          </reference>
        </references>
      </pivotArea>
    </chartFormat>
    <chartFormat chart="87" format="497" series="1">
      <pivotArea type="data" outline="0" fieldPosition="0">
        <references count="2">
          <reference field="4294967294" count="1" selected="0">
            <x v="0"/>
          </reference>
          <reference field="20" count="1" selected="0">
            <x v="96"/>
          </reference>
        </references>
      </pivotArea>
    </chartFormat>
    <chartFormat chart="87" format="498" series="1">
      <pivotArea type="data" outline="0" fieldPosition="0">
        <references count="2">
          <reference field="4294967294" count="1" selected="0">
            <x v="0"/>
          </reference>
          <reference field="20" count="1" selected="0">
            <x v="97"/>
          </reference>
        </references>
      </pivotArea>
    </chartFormat>
    <chartFormat chart="87" format="499" series="1">
      <pivotArea type="data" outline="0" fieldPosition="0">
        <references count="2">
          <reference field="4294967294" count="1" selected="0">
            <x v="0"/>
          </reference>
          <reference field="20" count="1" selected="0">
            <x v="98"/>
          </reference>
        </references>
      </pivotArea>
    </chartFormat>
    <chartFormat chart="87" format="500" series="1">
      <pivotArea type="data" outline="0" fieldPosition="0">
        <references count="2">
          <reference field="4294967294" count="1" selected="0">
            <x v="0"/>
          </reference>
          <reference field="20" count="1" selected="0">
            <x v="99"/>
          </reference>
        </references>
      </pivotArea>
    </chartFormat>
    <chartFormat chart="87" format="50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AAF4EA-6997-4923-AD38-4B3A2097F36F}" name="PivotTable12"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7">
  <location ref="J250:L253" firstHeaderRow="0" firstDataRow="1" firstDataCol="1"/>
  <pivotFields count="31">
    <pivotField compact="0" numFmtId="22"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axis="axisRow"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7"/>
  </rowFields>
  <rowItems count="3">
    <i>
      <x/>
    </i>
    <i>
      <x v="1"/>
    </i>
    <i>
      <x v="2"/>
    </i>
  </rowItems>
  <colFields count="1">
    <field x="-2"/>
  </colFields>
  <colItems count="2">
    <i>
      <x/>
    </i>
    <i i="1">
      <x v="1"/>
    </i>
  </colItems>
  <dataFields count="2">
    <dataField name="Count of Opportunity ID" fld="1" subtotal="count" showDataAs="percentOfCol" baseField="17" baseItem="0" numFmtId="10"/>
    <dataField name="Count of Opportunity ID2" fld="1" subtotal="count" baseField="17" baseItem="0"/>
  </dataFields>
  <chartFormats count="2">
    <chartFormat chart="18" format="0"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4C8F31-4F30-4EBD-B47B-C34108AE9508}"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0">
  <location ref="A3:B15"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numFmtId="22" outline="0" showAll="0"/>
    <pivotField compact="0" outline="0" showAll="0"/>
    <pivotField compact="0" outline="0" showAll="0"/>
    <pivotField compact="0" outline="0" showAll="0"/>
    <pivotField axis="axisRow"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2"/>
  </rowFields>
  <rowItems count="12">
    <i>
      <x/>
    </i>
    <i>
      <x v="1"/>
    </i>
    <i>
      <x v="2"/>
    </i>
    <i>
      <x v="3"/>
    </i>
    <i>
      <x v="4"/>
    </i>
    <i>
      <x v="5"/>
    </i>
    <i>
      <x v="6"/>
    </i>
    <i>
      <x v="7"/>
    </i>
    <i>
      <x v="8"/>
    </i>
    <i>
      <x v="9"/>
    </i>
    <i>
      <x v="10"/>
    </i>
    <i>
      <x v="11"/>
    </i>
  </rowItems>
  <colItems count="1">
    <i/>
  </colItems>
  <dataFields count="1">
    <dataField name="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802716F-321F-4A7C-BD85-3463541033B6}" name="PivotTable4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256:B260" firstHeaderRow="1" firstDataRow="1" firstDataCol="1"/>
  <pivotFields count="31">
    <pivotField numFmtId="22" showAll="0"/>
    <pivotField dataField="1" showAll="0"/>
    <pivotField showAll="0"/>
    <pivotField showAll="0"/>
    <pivotField showAll="0"/>
    <pivotField showAll="0"/>
    <pivotField showAll="0"/>
    <pivotField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axis="axisRow"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1">
    <field x="17"/>
  </rowFields>
  <rowItems count="4">
    <i>
      <x/>
    </i>
    <i>
      <x v="1"/>
    </i>
    <i>
      <x v="2"/>
    </i>
    <i t="grand">
      <x/>
    </i>
  </rowItems>
  <colItems count="1">
    <i/>
  </colItems>
  <dataFields count="1">
    <dataField name="Count of Opportunity ID" fld="1" subtotal="count" baseField="17" baseItem="0"/>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42ECD30-F080-4BE8-8791-5E17C97295E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A279:B285" firstHeaderRow="1" firstDataRow="1" firstDataCol="1"/>
  <pivotFields count="31">
    <pivotField numFmtId="22" showAll="0"/>
    <pivotField showAll="0"/>
    <pivotField showAll="0"/>
    <pivotField showAll="0"/>
    <pivotField showAll="0"/>
    <pivotField showAll="0"/>
    <pivotField showAll="0"/>
    <pivotField dataField="1"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axis="axisRow" showAll="0" sortType="ascending">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1">
    <field x="23"/>
  </rowFields>
  <rowItems count="6">
    <i>
      <x/>
    </i>
    <i>
      <x v="1"/>
    </i>
    <i>
      <x v="2"/>
    </i>
    <i>
      <x v="3"/>
    </i>
    <i>
      <x v="4"/>
    </i>
    <i t="grand">
      <x/>
    </i>
  </rowItems>
  <colItems count="1">
    <i/>
  </colItems>
  <dataFields count="1">
    <dataField name="Sum of FactoredProductRevenue" fld="7" baseField="0" baseItem="0"/>
  </dataFields>
  <chartFormats count="1">
    <chartFormat chart="3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33B97CB-A823-4C41-9A91-8C7E84119690}" name="PivotTable14"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7">
  <location ref="F346:F371"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85">
        <item x="3"/>
        <item x="1"/>
        <item x="5"/>
        <item x="480"/>
        <item x="204"/>
        <item x="389"/>
        <item x="4"/>
        <item x="174"/>
        <item x="483"/>
        <item x="191"/>
        <item x="481"/>
        <item x="55"/>
        <item x="49"/>
        <item x="482"/>
        <item x="478"/>
        <item x="297"/>
        <item x="226"/>
        <item x="0"/>
        <item x="209"/>
        <item x="430"/>
        <item x="2"/>
        <item x="41"/>
        <item x="339"/>
        <item x="119"/>
        <item x="455"/>
        <item x="255"/>
        <item x="244"/>
        <item x="427"/>
        <item x="82"/>
        <item x="175"/>
        <item x="416"/>
        <item x="110"/>
        <item x="76"/>
        <item x="261"/>
        <item x="404"/>
        <item x="399"/>
        <item x="350"/>
        <item x="324"/>
        <item x="371"/>
        <item x="412"/>
        <item x="393"/>
        <item x="85"/>
        <item x="138"/>
        <item x="259"/>
        <item x="169"/>
        <item x="401"/>
        <item x="6"/>
        <item x="212"/>
        <item x="157"/>
        <item x="414"/>
        <item x="322"/>
        <item x="47"/>
        <item x="16"/>
        <item x="388"/>
        <item x="170"/>
        <item x="183"/>
        <item x="18"/>
        <item x="99"/>
        <item x="349"/>
        <item x="415"/>
        <item x="263"/>
        <item x="184"/>
        <item x="58"/>
        <item x="153"/>
        <item x="251"/>
        <item x="454"/>
        <item x="121"/>
        <item x="462"/>
        <item x="124"/>
        <item x="256"/>
        <item x="479"/>
        <item x="228"/>
        <item x="353"/>
        <item x="366"/>
        <item x="31"/>
        <item x="225"/>
        <item x="298"/>
        <item x="301"/>
        <item x="32"/>
        <item x="287"/>
        <item x="313"/>
        <item x="9"/>
        <item x="142"/>
        <item x="383"/>
        <item x="178"/>
        <item x="80"/>
        <item x="445"/>
        <item x="461"/>
        <item x="456"/>
        <item x="422"/>
        <item x="376"/>
        <item x="180"/>
        <item x="320"/>
        <item x="51"/>
        <item x="306"/>
        <item x="240"/>
        <item x="192"/>
        <item x="146"/>
        <item x="150"/>
        <item x="285"/>
        <item x="344"/>
        <item x="213"/>
        <item x="78"/>
        <item x="278"/>
        <item x="117"/>
        <item x="96"/>
        <item x="381"/>
        <item x="254"/>
        <item x="127"/>
        <item x="8"/>
        <item x="101"/>
        <item x="326"/>
        <item x="91"/>
        <item x="72"/>
        <item x="173"/>
        <item x="429"/>
        <item x="238"/>
        <item x="433"/>
        <item x="163"/>
        <item x="475"/>
        <item x="156"/>
        <item x="149"/>
        <item x="352"/>
        <item x="329"/>
        <item x="342"/>
        <item x="64"/>
        <item x="111"/>
        <item x="379"/>
        <item x="167"/>
        <item x="166"/>
        <item x="347"/>
        <item x="364"/>
        <item x="424"/>
        <item x="269"/>
        <item x="122"/>
        <item x="30"/>
        <item x="476"/>
        <item x="362"/>
        <item x="45"/>
        <item x="132"/>
        <item x="323"/>
        <item x="81"/>
        <item x="177"/>
        <item x="186"/>
        <item x="185"/>
        <item x="330"/>
        <item x="314"/>
        <item x="390"/>
        <item x="338"/>
        <item x="12"/>
        <item x="343"/>
        <item x="10"/>
        <item x="328"/>
        <item x="288"/>
        <item x="248"/>
        <item x="442"/>
        <item x="271"/>
        <item x="449"/>
        <item x="56"/>
        <item x="374"/>
        <item x="354"/>
        <item x="164"/>
        <item x="89"/>
        <item x="312"/>
        <item x="440"/>
        <item x="470"/>
        <item x="392"/>
        <item x="102"/>
        <item x="190"/>
        <item x="468"/>
        <item x="417"/>
        <item x="227"/>
        <item x="321"/>
        <item x="447"/>
        <item x="421"/>
        <item x="179"/>
        <item x="378"/>
        <item x="413"/>
        <item x="292"/>
        <item x="436"/>
        <item x="438"/>
        <item x="369"/>
        <item x="53"/>
        <item x="473"/>
        <item x="345"/>
        <item x="94"/>
        <item x="471"/>
        <item x="63"/>
        <item x="432"/>
        <item x="187"/>
        <item x="317"/>
        <item x="459"/>
        <item x="207"/>
        <item x="143"/>
        <item x="405"/>
        <item x="37"/>
        <item x="310"/>
        <item x="181"/>
        <item x="104"/>
        <item x="74"/>
        <item x="267"/>
        <item x="367"/>
        <item x="406"/>
        <item x="395"/>
        <item x="137"/>
        <item x="27"/>
        <item x="410"/>
        <item x="472"/>
        <item x="57"/>
        <item x="346"/>
        <item x="75"/>
        <item x="411"/>
        <item x="437"/>
        <item x="68"/>
        <item x="368"/>
        <item x="387"/>
        <item x="193"/>
        <item x="84"/>
        <item x="370"/>
        <item x="172"/>
        <item x="242"/>
        <item x="62"/>
        <item x="168"/>
        <item x="79"/>
        <item x="304"/>
        <item x="375"/>
        <item x="105"/>
        <item x="218"/>
        <item x="332"/>
        <item x="125"/>
        <item x="400"/>
        <item x="241"/>
        <item x="291"/>
        <item x="325"/>
        <item x="230"/>
        <item x="391"/>
        <item x="264"/>
        <item x="300"/>
        <item x="477"/>
        <item x="290"/>
        <item x="73"/>
        <item x="334"/>
        <item x="386"/>
        <item x="13"/>
        <item x="128"/>
        <item x="216"/>
        <item x="423"/>
        <item x="54"/>
        <item x="268"/>
        <item x="29"/>
        <item x="458"/>
        <item x="171"/>
        <item x="88"/>
        <item x="270"/>
        <item x="327"/>
        <item x="15"/>
        <item x="176"/>
        <item x="40"/>
        <item x="372"/>
        <item x="283"/>
        <item x="130"/>
        <item x="103"/>
        <item x="23"/>
        <item x="67"/>
        <item x="250"/>
        <item x="284"/>
        <item x="450"/>
        <item x="14"/>
        <item x="83"/>
        <item x="233"/>
        <item x="66"/>
        <item x="408"/>
        <item x="208"/>
        <item x="220"/>
        <item x="43"/>
        <item x="214"/>
        <item x="21"/>
        <item x="265"/>
        <item x="236"/>
        <item x="33"/>
        <item x="431"/>
        <item x="302"/>
        <item x="86"/>
        <item x="452"/>
        <item x="205"/>
        <item x="252"/>
        <item x="341"/>
        <item x="426"/>
        <item x="239"/>
        <item x="276"/>
        <item x="136"/>
        <item x="155"/>
        <item x="90"/>
        <item x="112"/>
        <item x="333"/>
        <item x="309"/>
        <item x="235"/>
        <item x="358"/>
        <item x="20"/>
        <item x="195"/>
        <item x="466"/>
        <item x="460"/>
        <item x="398"/>
        <item x="189"/>
        <item x="356"/>
        <item x="46"/>
        <item x="224"/>
        <item x="474"/>
        <item x="59"/>
        <item x="444"/>
        <item x="44"/>
        <item x="221"/>
        <item x="457"/>
        <item x="198"/>
        <item x="377"/>
        <item x="293"/>
        <item x="420"/>
        <item x="380"/>
        <item x="443"/>
        <item x="331"/>
        <item x="382"/>
        <item x="182"/>
        <item x="22"/>
        <item x="246"/>
        <item x="194"/>
        <item x="107"/>
        <item x="282"/>
        <item x="165"/>
        <item x="403"/>
        <item x="357"/>
        <item x="134"/>
        <item x="229"/>
        <item x="281"/>
        <item x="11"/>
        <item x="42"/>
        <item x="129"/>
        <item x="217"/>
        <item x="435"/>
        <item x="465"/>
        <item x="215"/>
        <item x="428"/>
        <item x="258"/>
        <item x="219"/>
        <item x="24"/>
        <item x="77"/>
        <item x="384"/>
        <item x="439"/>
        <item x="144"/>
        <item x="50"/>
        <item x="363"/>
        <item x="249"/>
        <item x="280"/>
        <item x="113"/>
        <item x="245"/>
        <item x="336"/>
        <item x="48"/>
        <item x="451"/>
        <item x="365"/>
        <item x="100"/>
        <item x="139"/>
        <item x="206"/>
        <item x="360"/>
        <item x="361"/>
        <item x="247"/>
        <item x="93"/>
        <item x="70"/>
        <item x="199"/>
        <item x="311"/>
        <item x="154"/>
        <item x="118"/>
        <item x="131"/>
        <item x="385"/>
        <item x="407"/>
        <item x="464"/>
        <item x="243"/>
        <item x="340"/>
        <item x="7"/>
        <item x="106"/>
        <item x="286"/>
        <item x="425"/>
        <item x="266"/>
        <item x="28"/>
        <item x="277"/>
        <item x="335"/>
        <item x="253"/>
        <item x="289"/>
        <item x="275"/>
        <item x="34"/>
        <item x="305"/>
        <item x="120"/>
        <item x="348"/>
        <item x="65"/>
        <item x="273"/>
        <item x="161"/>
        <item x="418"/>
        <item x="160"/>
        <item x="71"/>
        <item x="188"/>
        <item x="152"/>
        <item x="469"/>
        <item x="203"/>
        <item x="201"/>
        <item x="272"/>
        <item x="211"/>
        <item x="274"/>
        <item x="453"/>
        <item x="308"/>
        <item x="434"/>
        <item x="202"/>
        <item x="260"/>
        <item x="351"/>
        <item x="373"/>
        <item x="147"/>
        <item x="39"/>
        <item x="133"/>
        <item x="419"/>
        <item x="316"/>
        <item x="262"/>
        <item x="299"/>
        <item x="409"/>
        <item x="318"/>
        <item x="17"/>
        <item x="232"/>
        <item x="141"/>
        <item x="114"/>
        <item x="295"/>
        <item x="396"/>
        <item x="315"/>
        <item x="279"/>
        <item x="355"/>
        <item x="61"/>
        <item x="148"/>
        <item x="95"/>
        <item x="145"/>
        <item x="359"/>
        <item x="200"/>
        <item x="162"/>
        <item x="151"/>
        <item x="25"/>
        <item x="35"/>
        <item x="123"/>
        <item x="38"/>
        <item x="19"/>
        <item x="467"/>
        <item x="196"/>
        <item x="36"/>
        <item x="294"/>
        <item x="98"/>
        <item x="397"/>
        <item x="337"/>
        <item x="60"/>
        <item x="116"/>
        <item x="115"/>
        <item x="237"/>
        <item x="210"/>
        <item x="307"/>
        <item x="319"/>
        <item x="109"/>
        <item x="296"/>
        <item x="140"/>
        <item x="402"/>
        <item x="26"/>
        <item x="69"/>
        <item x="197"/>
        <item x="92"/>
        <item x="394"/>
        <item x="223"/>
        <item x="222"/>
        <item x="97"/>
        <item x="441"/>
        <item x="87"/>
        <item x="108"/>
        <item x="52"/>
        <item x="159"/>
        <item x="303"/>
        <item x="448"/>
        <item x="158"/>
        <item x="446"/>
        <item x="463"/>
        <item x="135"/>
        <item x="234"/>
        <item x="257"/>
        <item x="231"/>
        <item x="126"/>
        <item t="default"/>
      </items>
    </pivotField>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axis="axisRow"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A2FD4EF-E392-4AB4-82AE-366D000FEC6B}" name="Produc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5" rowHeaderCaption="Product">
  <location ref="A29:B54" firstHeaderRow="1" firstDataRow="1" firstDataCol="1"/>
  <pivotFields count="31">
    <pivotField numFmtId="22" showAll="0"/>
    <pivotField showAll="0"/>
    <pivotField showAll="0"/>
    <pivotField showAll="0"/>
    <pivotField showAll="0"/>
    <pivotField showAll="0"/>
    <pivotField showAll="0"/>
    <pivotField dataField="1"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axis="axisRow"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x v="24"/>
    </i>
  </rowItems>
  <colItems count="1">
    <i/>
  </colItems>
  <dataFields count="1">
    <dataField name="Revenue" fld="7" baseField="1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949E194-76DD-4425-AABE-0CEA87E1B588}"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79:G84" firstHeaderRow="1" firstDataRow="2" firstDataCol="1"/>
  <pivotFields count="31">
    <pivotField numFmtId="22" showAll="0"/>
    <pivotField dataField="1" showAll="0"/>
    <pivotField showAll="0"/>
    <pivotField showAll="0"/>
    <pivotField showAll="0"/>
    <pivotField showAll="0"/>
    <pivotField showAll="0"/>
    <pivotField showAll="0"/>
    <pivotField numFmtId="22" showAll="0"/>
    <pivotField showAll="0"/>
    <pivotField showAll="0"/>
    <pivotField showAll="0"/>
    <pivotField showAll="0">
      <items count="13">
        <item x="9"/>
        <item x="7"/>
        <item x="10"/>
        <item x="8"/>
        <item x="0"/>
        <item x="2"/>
        <item x="1"/>
        <item x="11"/>
        <item x="5"/>
        <item x="3"/>
        <item x="4"/>
        <item x="6"/>
        <item t="default"/>
      </items>
    </pivotField>
    <pivotField axis="axisRow"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axis="axisCol"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1">
    <field x="13"/>
  </rowFields>
  <rowItems count="4">
    <i>
      <x/>
    </i>
    <i>
      <x v="1"/>
    </i>
    <i>
      <x v="2"/>
    </i>
    <i t="grand">
      <x/>
    </i>
  </rowItems>
  <colFields count="1">
    <field x="23"/>
  </colFields>
  <colItems count="6">
    <i>
      <x/>
    </i>
    <i>
      <x v="1"/>
    </i>
    <i>
      <x v="2"/>
    </i>
    <i>
      <x v="3"/>
    </i>
    <i>
      <x v="4"/>
    </i>
    <i t="grand">
      <x/>
    </i>
  </colItems>
  <dataFields count="1">
    <dataField name="Count of Opportunity ID" fld="1" subtotal="count" baseField="13" baseItem="0"/>
  </dataFields>
  <chartFormats count="6">
    <chartFormat chart="18" format="0" series="1">
      <pivotArea type="data" outline="0" fieldPosition="0">
        <references count="2">
          <reference field="4294967294" count="1" selected="0">
            <x v="0"/>
          </reference>
          <reference field="23" count="1" selected="0">
            <x v="0"/>
          </reference>
        </references>
      </pivotArea>
    </chartFormat>
    <chartFormat chart="18" format="1" series="1">
      <pivotArea type="data" outline="0" fieldPosition="0">
        <references count="2">
          <reference field="4294967294" count="1" selected="0">
            <x v="0"/>
          </reference>
          <reference field="23" count="1" selected="0">
            <x v="1"/>
          </reference>
        </references>
      </pivotArea>
    </chartFormat>
    <chartFormat chart="18" format="2" series="1">
      <pivotArea type="data" outline="0" fieldPosition="0">
        <references count="2">
          <reference field="4294967294" count="1" selected="0">
            <x v="0"/>
          </reference>
          <reference field="23" count="1" selected="0">
            <x v="2"/>
          </reference>
        </references>
      </pivotArea>
    </chartFormat>
    <chartFormat chart="18" format="3" series="1">
      <pivotArea type="data" outline="0" fieldPosition="0">
        <references count="2">
          <reference field="4294967294" count="1" selected="0">
            <x v="0"/>
          </reference>
          <reference field="23" count="1" selected="0">
            <x v="3"/>
          </reference>
        </references>
      </pivotArea>
    </chartFormat>
    <chartFormat chart="18" format="4" series="1">
      <pivotArea type="data" outline="0" fieldPosition="0">
        <references count="2">
          <reference field="4294967294" count="1" selected="0">
            <x v="0"/>
          </reference>
          <reference field="23" count="1" selected="0">
            <x v="4"/>
          </reference>
        </references>
      </pivotArea>
    </chartFormat>
    <chartFormat chart="1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7DA9183-9D55-4845-8A8D-77ECBA20FAE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A328:N340" firstHeaderRow="1" firstDataRow="2" firstDataCol="1"/>
  <pivotFields count="31">
    <pivotField numFmtId="22" showAll="0"/>
    <pivotField showAll="0"/>
    <pivotField showAll="0"/>
    <pivotField showAll="0"/>
    <pivotField showAll="0"/>
    <pivotField showAll="0"/>
    <pivotField showAll="0"/>
    <pivotField showAll="0"/>
    <pivotField numFmtId="22" showAll="0"/>
    <pivotField showAll="0"/>
    <pivotField showAll="0"/>
    <pivotField showAll="0"/>
    <pivotField axis="axisCol"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dataField="1"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axis="axisRow" showAll="0">
      <items count="6">
        <item x="1"/>
        <item x="0"/>
        <item x="2"/>
        <item x="3"/>
        <item x="4"/>
        <item t="default"/>
      </items>
    </pivotField>
    <pivotField axis="axisRow" showAll="0" sortType="ascending">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2">
    <field x="22"/>
    <field x="23"/>
  </rowFields>
  <rowItems count="11">
    <i>
      <x/>
    </i>
    <i r="1">
      <x v="1"/>
    </i>
    <i>
      <x v="1"/>
    </i>
    <i r="1">
      <x v="3"/>
    </i>
    <i>
      <x v="2"/>
    </i>
    <i r="1">
      <x v="4"/>
    </i>
    <i>
      <x v="3"/>
    </i>
    <i r="1">
      <x v="2"/>
    </i>
    <i>
      <x v="4"/>
    </i>
    <i r="1">
      <x/>
    </i>
    <i t="grand">
      <x/>
    </i>
  </rowItems>
  <colFields count="1">
    <field x="12"/>
  </colFields>
  <colItems count="13">
    <i>
      <x/>
    </i>
    <i>
      <x v="1"/>
    </i>
    <i>
      <x v="2"/>
    </i>
    <i>
      <x v="3"/>
    </i>
    <i>
      <x v="4"/>
    </i>
    <i>
      <x v="5"/>
    </i>
    <i>
      <x v="6"/>
    </i>
    <i>
      <x v="7"/>
    </i>
    <i>
      <x v="8"/>
    </i>
    <i>
      <x v="9"/>
    </i>
    <i>
      <x v="10"/>
    </i>
    <i>
      <x v="11"/>
    </i>
    <i t="grand">
      <x/>
    </i>
  </colItems>
  <dataFields count="1">
    <dataField name="Count of Oppurtunity.Opportunity Size"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3CB72B6-1231-4B4B-9EC3-32402988FC93}"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39">
  <location ref="A268:B273" firstHeaderRow="1" firstDataRow="1" firstDataCol="1"/>
  <pivotFields count="31">
    <pivotField compact="0" numFmtId="22"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name="Sales Stage" axis="axisRow" compact="0" outline="0" showAll="0" sortType="ascending">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23"/>
  </rowFields>
  <rowItems count="5">
    <i>
      <x/>
    </i>
    <i>
      <x v="1"/>
    </i>
    <i>
      <x v="2"/>
    </i>
    <i>
      <x v="3"/>
    </i>
    <i>
      <x v="4"/>
    </i>
  </rowItems>
  <colItems count="1">
    <i/>
  </colItems>
  <dataFields count="1">
    <dataField name="Opportunities" fld="1" subtotal="count" baseField="2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88D50DE-217E-45A5-AFC2-C4207F0CD942}"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2">
  <location ref="A307:B321" firstHeaderRow="1" firstDataRow="1" firstDataCol="1"/>
  <pivotFields count="31">
    <pivotField numFmtId="22" showAll="0"/>
    <pivotField showAll="0"/>
    <pivotField showAll="0"/>
    <pivotField showAll="0"/>
    <pivotField showAll="0"/>
    <pivotField showAll="0"/>
    <pivotField showAll="0"/>
    <pivotField showAll="0"/>
    <pivotField numFmtId="22" showAll="0"/>
    <pivotField dataField="1" showAll="0"/>
    <pivotField axis="axisRow" showAll="0">
      <items count="2">
        <item x="0"/>
        <item t="default"/>
      </items>
    </pivotField>
    <pivotField showAll="0"/>
    <pivotField axis="axisRow"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sortType="ascending">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2">
    <field x="10"/>
    <field x="12"/>
  </rowFields>
  <rowItems count="14">
    <i>
      <x/>
    </i>
    <i r="1">
      <x/>
    </i>
    <i r="1">
      <x v="1"/>
    </i>
    <i r="1">
      <x v="2"/>
    </i>
    <i r="1">
      <x v="3"/>
    </i>
    <i r="1">
      <x v="4"/>
    </i>
    <i r="1">
      <x v="5"/>
    </i>
    <i r="1">
      <x v="6"/>
    </i>
    <i r="1">
      <x v="7"/>
    </i>
    <i r="1">
      <x v="8"/>
    </i>
    <i r="1">
      <x v="9"/>
    </i>
    <i r="1">
      <x v="10"/>
    </i>
    <i r="1">
      <x v="11"/>
    </i>
    <i t="grand">
      <x/>
    </i>
  </rowItems>
  <colItems count="1">
    <i/>
  </colItems>
  <dataFields count="1">
    <dataField name="Average of Opportunity Days" fld="9" subtotal="average" baseField="10" baseItem="0"/>
  </dataFields>
  <chartFormats count="1">
    <chartFormat chart="4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5C06888-12AA-4D8B-965D-4C0343EEC29E}"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1">
  <location ref="A291:B297" firstHeaderRow="1" firstDataRow="1" firstDataCol="1"/>
  <pivotFields count="31">
    <pivotField numFmtId="22" showAll="0"/>
    <pivotField dataField="1" showAll="0"/>
    <pivotField showAll="0"/>
    <pivotField showAll="0"/>
    <pivotField showAll="0"/>
    <pivotField showAll="0"/>
    <pivotField showAll="0"/>
    <pivotField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axis="axisRow" showAll="0" sortType="ascending">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1">
    <field x="23"/>
  </rowFields>
  <rowItems count="6">
    <i>
      <x/>
    </i>
    <i>
      <x v="1"/>
    </i>
    <i>
      <x v="2"/>
    </i>
    <i>
      <x v="3"/>
    </i>
    <i>
      <x v="4"/>
    </i>
    <i t="grand">
      <x/>
    </i>
  </rowItems>
  <colItems count="1">
    <i/>
  </colItems>
  <dataFields count="1">
    <dataField name="Count of Opportunity ID" fld="1" subtotal="count" baseField="2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5F4E6F5-D812-4D74-9313-1BFD5D3C9FEE}" name="PivotTable13"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0">
  <location ref="G3:H15"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numFmtId="22" outline="0" showAll="0"/>
    <pivotField compact="0" outline="0" showAll="0"/>
    <pivotField compact="0" outline="0" showAll="0"/>
    <pivotField compact="0" outline="0" showAll="0"/>
    <pivotField axis="axisRow"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12"/>
  </rowFields>
  <rowItems count="12">
    <i>
      <x/>
    </i>
    <i>
      <x v="1"/>
    </i>
    <i>
      <x v="2"/>
    </i>
    <i>
      <x v="3"/>
    </i>
    <i>
      <x v="4"/>
    </i>
    <i>
      <x v="5"/>
    </i>
    <i>
      <x v="6"/>
    </i>
    <i>
      <x v="7"/>
    </i>
    <i>
      <x v="8"/>
    </i>
    <i>
      <x v="9"/>
    </i>
    <i>
      <x v="10"/>
    </i>
    <i>
      <x v="11"/>
    </i>
  </rowItems>
  <colItems count="1">
    <i/>
  </colItems>
  <dataFields count="1">
    <dataField name="Revenue" fld="7" baseField="0" baseItem="0"/>
  </dataFields>
  <chartFormats count="1">
    <chartFormat chart="1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5D5D017-BCC7-407B-9F78-EE737A1DD111}" name="PivotTable4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7" rowHeaderCaption="PARTNER">
  <location ref="A124:B224" firstHeaderRow="1" firstDataRow="1" firstDataCol="1" rowPageCount="1" colPageCount="1"/>
  <pivotFields count="31">
    <pivotField numFmtId="22" showAll="0"/>
    <pivotField showAll="0"/>
    <pivotField showAll="0"/>
    <pivotField showAll="0"/>
    <pivotField showAll="0"/>
    <pivotField showAll="0"/>
    <pivotField showAll="0"/>
    <pivotField showAll="0"/>
    <pivotField numFmtId="22" showAll="0"/>
    <pivotField showAll="0"/>
    <pivotField showAll="0"/>
    <pivotField showAll="0"/>
    <pivotField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axis="axisRow"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axis="axisPage" multipleItemSelectionAllowed="1" showAll="0">
      <items count="3">
        <item h="1" x="1"/>
        <item x="0"/>
        <item t="default"/>
      </items>
    </pivotField>
    <pivotField showAll="0"/>
    <pivotField showAll="0">
      <items count="6">
        <item x="4"/>
        <item x="1"/>
        <item x="3"/>
        <item x="0"/>
        <item x="2"/>
        <item t="default"/>
      </items>
    </pivotField>
    <pivotField showAll="0"/>
    <pivotField showAll="0"/>
    <pivotField showAll="0">
      <items count="4">
        <item x="2"/>
        <item x="1"/>
        <item x="0"/>
        <item t="default"/>
      </items>
    </pivotField>
    <pivotField dataField="1" multipleItemSelectionAllowed="1" showAll="0"/>
    <pivotField showAll="0"/>
    <pivotField dragToRow="0" dragToCol="0" dragToPage="0" showAll="0" defaultSubtotal="0"/>
    <pivotField dragToRow="0" dragToCol="0" dragToPage="0" showAll="0" defaultSubtotal="0"/>
  </pivotFields>
  <rowFields count="1">
    <field x="20"/>
  </rowFields>
  <rowItems count="100">
    <i>
      <x/>
    </i>
    <i>
      <x v="1"/>
    </i>
    <i>
      <x v="2"/>
    </i>
    <i>
      <x v="3"/>
    </i>
    <i>
      <x v="4"/>
    </i>
    <i>
      <x v="5"/>
    </i>
    <i>
      <x v="6"/>
    </i>
    <i>
      <x v="7"/>
    </i>
    <i>
      <x v="8"/>
    </i>
    <i>
      <x v="9"/>
    </i>
    <i>
      <x v="10"/>
    </i>
    <i>
      <x v="11"/>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pageFields count="1">
    <pageField fld="21" hier="-1"/>
  </pageFields>
  <dataFields count="1">
    <dataField name="Sum of PartnerDrivenOpportunitiesPercentage" fld="27" baseField="0" baseItem="0"/>
  </dataFields>
  <chartFormats count="100">
    <chartFormat chart="40" format="0" series="1">
      <pivotArea type="data" outline="0" fieldPosition="0">
        <references count="1">
          <reference field="4294967294" count="1" selected="0">
            <x v="0"/>
          </reference>
        </references>
      </pivotArea>
    </chartFormat>
    <chartFormat chart="40" format="1">
      <pivotArea type="data" outline="0" fieldPosition="0">
        <references count="2">
          <reference field="4294967294" count="1" selected="0">
            <x v="0"/>
          </reference>
          <reference field="20" count="1" selected="0">
            <x v="0"/>
          </reference>
        </references>
      </pivotArea>
    </chartFormat>
    <chartFormat chart="40" format="2">
      <pivotArea type="data" outline="0" fieldPosition="0">
        <references count="2">
          <reference field="4294967294" count="1" selected="0">
            <x v="0"/>
          </reference>
          <reference field="20" count="1" selected="0">
            <x v="1"/>
          </reference>
        </references>
      </pivotArea>
    </chartFormat>
    <chartFormat chart="40" format="3">
      <pivotArea type="data" outline="0" fieldPosition="0">
        <references count="2">
          <reference field="4294967294" count="1" selected="0">
            <x v="0"/>
          </reference>
          <reference field="20" count="1" selected="0">
            <x v="2"/>
          </reference>
        </references>
      </pivotArea>
    </chartFormat>
    <chartFormat chart="40" format="4">
      <pivotArea type="data" outline="0" fieldPosition="0">
        <references count="2">
          <reference field="4294967294" count="1" selected="0">
            <x v="0"/>
          </reference>
          <reference field="20" count="1" selected="0">
            <x v="3"/>
          </reference>
        </references>
      </pivotArea>
    </chartFormat>
    <chartFormat chart="40" format="5">
      <pivotArea type="data" outline="0" fieldPosition="0">
        <references count="2">
          <reference field="4294967294" count="1" selected="0">
            <x v="0"/>
          </reference>
          <reference field="20" count="1" selected="0">
            <x v="4"/>
          </reference>
        </references>
      </pivotArea>
    </chartFormat>
    <chartFormat chart="40" format="6">
      <pivotArea type="data" outline="0" fieldPosition="0">
        <references count="2">
          <reference field="4294967294" count="1" selected="0">
            <x v="0"/>
          </reference>
          <reference field="20" count="1" selected="0">
            <x v="5"/>
          </reference>
        </references>
      </pivotArea>
    </chartFormat>
    <chartFormat chart="40" format="7">
      <pivotArea type="data" outline="0" fieldPosition="0">
        <references count="2">
          <reference field="4294967294" count="1" selected="0">
            <x v="0"/>
          </reference>
          <reference field="20" count="1" selected="0">
            <x v="6"/>
          </reference>
        </references>
      </pivotArea>
    </chartFormat>
    <chartFormat chart="40" format="8">
      <pivotArea type="data" outline="0" fieldPosition="0">
        <references count="2">
          <reference field="4294967294" count="1" selected="0">
            <x v="0"/>
          </reference>
          <reference field="20" count="1" selected="0">
            <x v="7"/>
          </reference>
        </references>
      </pivotArea>
    </chartFormat>
    <chartFormat chart="40" format="9">
      <pivotArea type="data" outline="0" fieldPosition="0">
        <references count="2">
          <reference field="4294967294" count="1" selected="0">
            <x v="0"/>
          </reference>
          <reference field="20" count="1" selected="0">
            <x v="8"/>
          </reference>
        </references>
      </pivotArea>
    </chartFormat>
    <chartFormat chart="40" format="10">
      <pivotArea type="data" outline="0" fieldPosition="0">
        <references count="2">
          <reference field="4294967294" count="1" selected="0">
            <x v="0"/>
          </reference>
          <reference field="20" count="1" selected="0">
            <x v="9"/>
          </reference>
        </references>
      </pivotArea>
    </chartFormat>
    <chartFormat chart="40" format="11">
      <pivotArea type="data" outline="0" fieldPosition="0">
        <references count="2">
          <reference field="4294967294" count="1" selected="0">
            <x v="0"/>
          </reference>
          <reference field="20" count="1" selected="0">
            <x v="10"/>
          </reference>
        </references>
      </pivotArea>
    </chartFormat>
    <chartFormat chart="40" format="12">
      <pivotArea type="data" outline="0" fieldPosition="0">
        <references count="2">
          <reference field="4294967294" count="1" selected="0">
            <x v="0"/>
          </reference>
          <reference field="20" count="1" selected="0">
            <x v="11"/>
          </reference>
        </references>
      </pivotArea>
    </chartFormat>
    <chartFormat chart="40" format="13">
      <pivotArea type="data" outline="0" fieldPosition="0">
        <references count="2">
          <reference field="4294967294" count="1" selected="0">
            <x v="0"/>
          </reference>
          <reference field="20" count="1" selected="0">
            <x v="13"/>
          </reference>
        </references>
      </pivotArea>
    </chartFormat>
    <chartFormat chart="40" format="14">
      <pivotArea type="data" outline="0" fieldPosition="0">
        <references count="2">
          <reference field="4294967294" count="1" selected="0">
            <x v="0"/>
          </reference>
          <reference field="20" count="1" selected="0">
            <x v="14"/>
          </reference>
        </references>
      </pivotArea>
    </chartFormat>
    <chartFormat chart="40" format="15">
      <pivotArea type="data" outline="0" fieldPosition="0">
        <references count="2">
          <reference field="4294967294" count="1" selected="0">
            <x v="0"/>
          </reference>
          <reference field="20" count="1" selected="0">
            <x v="15"/>
          </reference>
        </references>
      </pivotArea>
    </chartFormat>
    <chartFormat chart="40" format="16">
      <pivotArea type="data" outline="0" fieldPosition="0">
        <references count="2">
          <reference field="4294967294" count="1" selected="0">
            <x v="0"/>
          </reference>
          <reference field="20" count="1" selected="0">
            <x v="16"/>
          </reference>
        </references>
      </pivotArea>
    </chartFormat>
    <chartFormat chart="40" format="17">
      <pivotArea type="data" outline="0" fieldPosition="0">
        <references count="2">
          <reference field="4294967294" count="1" selected="0">
            <x v="0"/>
          </reference>
          <reference field="20" count="1" selected="0">
            <x v="17"/>
          </reference>
        </references>
      </pivotArea>
    </chartFormat>
    <chartFormat chart="40" format="18">
      <pivotArea type="data" outline="0" fieldPosition="0">
        <references count="2">
          <reference field="4294967294" count="1" selected="0">
            <x v="0"/>
          </reference>
          <reference field="20" count="1" selected="0">
            <x v="18"/>
          </reference>
        </references>
      </pivotArea>
    </chartFormat>
    <chartFormat chart="40" format="19">
      <pivotArea type="data" outline="0" fieldPosition="0">
        <references count="2">
          <reference field="4294967294" count="1" selected="0">
            <x v="0"/>
          </reference>
          <reference field="20" count="1" selected="0">
            <x v="19"/>
          </reference>
        </references>
      </pivotArea>
    </chartFormat>
    <chartFormat chart="40" format="20">
      <pivotArea type="data" outline="0" fieldPosition="0">
        <references count="2">
          <reference field="4294967294" count="1" selected="0">
            <x v="0"/>
          </reference>
          <reference field="20" count="1" selected="0">
            <x v="20"/>
          </reference>
        </references>
      </pivotArea>
    </chartFormat>
    <chartFormat chart="40" format="21">
      <pivotArea type="data" outline="0" fieldPosition="0">
        <references count="2">
          <reference field="4294967294" count="1" selected="0">
            <x v="0"/>
          </reference>
          <reference field="20" count="1" selected="0">
            <x v="21"/>
          </reference>
        </references>
      </pivotArea>
    </chartFormat>
    <chartFormat chart="40" format="22">
      <pivotArea type="data" outline="0" fieldPosition="0">
        <references count="2">
          <reference field="4294967294" count="1" selected="0">
            <x v="0"/>
          </reference>
          <reference field="20" count="1" selected="0">
            <x v="22"/>
          </reference>
        </references>
      </pivotArea>
    </chartFormat>
    <chartFormat chart="40" format="23">
      <pivotArea type="data" outline="0" fieldPosition="0">
        <references count="2">
          <reference field="4294967294" count="1" selected="0">
            <x v="0"/>
          </reference>
          <reference field="20" count="1" selected="0">
            <x v="23"/>
          </reference>
        </references>
      </pivotArea>
    </chartFormat>
    <chartFormat chart="40" format="24">
      <pivotArea type="data" outline="0" fieldPosition="0">
        <references count="2">
          <reference field="4294967294" count="1" selected="0">
            <x v="0"/>
          </reference>
          <reference field="20" count="1" selected="0">
            <x v="24"/>
          </reference>
        </references>
      </pivotArea>
    </chartFormat>
    <chartFormat chart="40" format="25">
      <pivotArea type="data" outline="0" fieldPosition="0">
        <references count="2">
          <reference field="4294967294" count="1" selected="0">
            <x v="0"/>
          </reference>
          <reference field="20" count="1" selected="0">
            <x v="25"/>
          </reference>
        </references>
      </pivotArea>
    </chartFormat>
    <chartFormat chart="40" format="26">
      <pivotArea type="data" outline="0" fieldPosition="0">
        <references count="2">
          <reference field="4294967294" count="1" selected="0">
            <x v="0"/>
          </reference>
          <reference field="20" count="1" selected="0">
            <x v="26"/>
          </reference>
        </references>
      </pivotArea>
    </chartFormat>
    <chartFormat chart="40" format="27">
      <pivotArea type="data" outline="0" fieldPosition="0">
        <references count="2">
          <reference field="4294967294" count="1" selected="0">
            <x v="0"/>
          </reference>
          <reference field="20" count="1" selected="0">
            <x v="27"/>
          </reference>
        </references>
      </pivotArea>
    </chartFormat>
    <chartFormat chart="40" format="28">
      <pivotArea type="data" outline="0" fieldPosition="0">
        <references count="2">
          <reference field="4294967294" count="1" selected="0">
            <x v="0"/>
          </reference>
          <reference field="20" count="1" selected="0">
            <x v="28"/>
          </reference>
        </references>
      </pivotArea>
    </chartFormat>
    <chartFormat chart="40" format="29">
      <pivotArea type="data" outline="0" fieldPosition="0">
        <references count="2">
          <reference field="4294967294" count="1" selected="0">
            <x v="0"/>
          </reference>
          <reference field="20" count="1" selected="0">
            <x v="29"/>
          </reference>
        </references>
      </pivotArea>
    </chartFormat>
    <chartFormat chart="40" format="30">
      <pivotArea type="data" outline="0" fieldPosition="0">
        <references count="2">
          <reference field="4294967294" count="1" selected="0">
            <x v="0"/>
          </reference>
          <reference field="20" count="1" selected="0">
            <x v="30"/>
          </reference>
        </references>
      </pivotArea>
    </chartFormat>
    <chartFormat chart="40" format="31">
      <pivotArea type="data" outline="0" fieldPosition="0">
        <references count="2">
          <reference field="4294967294" count="1" selected="0">
            <x v="0"/>
          </reference>
          <reference field="20" count="1" selected="0">
            <x v="31"/>
          </reference>
        </references>
      </pivotArea>
    </chartFormat>
    <chartFormat chart="40" format="32">
      <pivotArea type="data" outline="0" fieldPosition="0">
        <references count="2">
          <reference field="4294967294" count="1" selected="0">
            <x v="0"/>
          </reference>
          <reference field="20" count="1" selected="0">
            <x v="32"/>
          </reference>
        </references>
      </pivotArea>
    </chartFormat>
    <chartFormat chart="40" format="33">
      <pivotArea type="data" outline="0" fieldPosition="0">
        <references count="2">
          <reference field="4294967294" count="1" selected="0">
            <x v="0"/>
          </reference>
          <reference field="20" count="1" selected="0">
            <x v="33"/>
          </reference>
        </references>
      </pivotArea>
    </chartFormat>
    <chartFormat chart="40" format="34">
      <pivotArea type="data" outline="0" fieldPosition="0">
        <references count="2">
          <reference field="4294967294" count="1" selected="0">
            <x v="0"/>
          </reference>
          <reference field="20" count="1" selected="0">
            <x v="34"/>
          </reference>
        </references>
      </pivotArea>
    </chartFormat>
    <chartFormat chart="40" format="35">
      <pivotArea type="data" outline="0" fieldPosition="0">
        <references count="2">
          <reference field="4294967294" count="1" selected="0">
            <x v="0"/>
          </reference>
          <reference field="20" count="1" selected="0">
            <x v="35"/>
          </reference>
        </references>
      </pivotArea>
    </chartFormat>
    <chartFormat chart="40" format="36">
      <pivotArea type="data" outline="0" fieldPosition="0">
        <references count="2">
          <reference field="4294967294" count="1" selected="0">
            <x v="0"/>
          </reference>
          <reference field="20" count="1" selected="0">
            <x v="36"/>
          </reference>
        </references>
      </pivotArea>
    </chartFormat>
    <chartFormat chart="40" format="37">
      <pivotArea type="data" outline="0" fieldPosition="0">
        <references count="2">
          <reference field="4294967294" count="1" selected="0">
            <x v="0"/>
          </reference>
          <reference field="20" count="1" selected="0">
            <x v="37"/>
          </reference>
        </references>
      </pivotArea>
    </chartFormat>
    <chartFormat chart="40" format="38">
      <pivotArea type="data" outline="0" fieldPosition="0">
        <references count="2">
          <reference field="4294967294" count="1" selected="0">
            <x v="0"/>
          </reference>
          <reference field="20" count="1" selected="0">
            <x v="38"/>
          </reference>
        </references>
      </pivotArea>
    </chartFormat>
    <chartFormat chart="40" format="39">
      <pivotArea type="data" outline="0" fieldPosition="0">
        <references count="2">
          <reference field="4294967294" count="1" selected="0">
            <x v="0"/>
          </reference>
          <reference field="20" count="1" selected="0">
            <x v="39"/>
          </reference>
        </references>
      </pivotArea>
    </chartFormat>
    <chartFormat chart="40" format="40">
      <pivotArea type="data" outline="0" fieldPosition="0">
        <references count="2">
          <reference field="4294967294" count="1" selected="0">
            <x v="0"/>
          </reference>
          <reference field="20" count="1" selected="0">
            <x v="40"/>
          </reference>
        </references>
      </pivotArea>
    </chartFormat>
    <chartFormat chart="40" format="41">
      <pivotArea type="data" outline="0" fieldPosition="0">
        <references count="2">
          <reference field="4294967294" count="1" selected="0">
            <x v="0"/>
          </reference>
          <reference field="20" count="1" selected="0">
            <x v="41"/>
          </reference>
        </references>
      </pivotArea>
    </chartFormat>
    <chartFormat chart="40" format="42">
      <pivotArea type="data" outline="0" fieldPosition="0">
        <references count="2">
          <reference field="4294967294" count="1" selected="0">
            <x v="0"/>
          </reference>
          <reference field="20" count="1" selected="0">
            <x v="42"/>
          </reference>
        </references>
      </pivotArea>
    </chartFormat>
    <chartFormat chart="40" format="43">
      <pivotArea type="data" outline="0" fieldPosition="0">
        <references count="2">
          <reference field="4294967294" count="1" selected="0">
            <x v="0"/>
          </reference>
          <reference field="20" count="1" selected="0">
            <x v="43"/>
          </reference>
        </references>
      </pivotArea>
    </chartFormat>
    <chartFormat chart="40" format="44">
      <pivotArea type="data" outline="0" fieldPosition="0">
        <references count="2">
          <reference field="4294967294" count="1" selected="0">
            <x v="0"/>
          </reference>
          <reference field="20" count="1" selected="0">
            <x v="44"/>
          </reference>
        </references>
      </pivotArea>
    </chartFormat>
    <chartFormat chart="40" format="45">
      <pivotArea type="data" outline="0" fieldPosition="0">
        <references count="2">
          <reference field="4294967294" count="1" selected="0">
            <x v="0"/>
          </reference>
          <reference field="20" count="1" selected="0">
            <x v="45"/>
          </reference>
        </references>
      </pivotArea>
    </chartFormat>
    <chartFormat chart="40" format="46">
      <pivotArea type="data" outline="0" fieldPosition="0">
        <references count="2">
          <reference field="4294967294" count="1" selected="0">
            <x v="0"/>
          </reference>
          <reference field="20" count="1" selected="0">
            <x v="46"/>
          </reference>
        </references>
      </pivotArea>
    </chartFormat>
    <chartFormat chart="40" format="47">
      <pivotArea type="data" outline="0" fieldPosition="0">
        <references count="2">
          <reference field="4294967294" count="1" selected="0">
            <x v="0"/>
          </reference>
          <reference field="20" count="1" selected="0">
            <x v="47"/>
          </reference>
        </references>
      </pivotArea>
    </chartFormat>
    <chartFormat chart="40" format="48">
      <pivotArea type="data" outline="0" fieldPosition="0">
        <references count="2">
          <reference field="4294967294" count="1" selected="0">
            <x v="0"/>
          </reference>
          <reference field="20" count="1" selected="0">
            <x v="48"/>
          </reference>
        </references>
      </pivotArea>
    </chartFormat>
    <chartFormat chart="40" format="49">
      <pivotArea type="data" outline="0" fieldPosition="0">
        <references count="2">
          <reference field="4294967294" count="1" selected="0">
            <x v="0"/>
          </reference>
          <reference field="20" count="1" selected="0">
            <x v="49"/>
          </reference>
        </references>
      </pivotArea>
    </chartFormat>
    <chartFormat chart="40" format="50">
      <pivotArea type="data" outline="0" fieldPosition="0">
        <references count="2">
          <reference field="4294967294" count="1" selected="0">
            <x v="0"/>
          </reference>
          <reference field="20" count="1" selected="0">
            <x v="50"/>
          </reference>
        </references>
      </pivotArea>
    </chartFormat>
    <chartFormat chart="40" format="51">
      <pivotArea type="data" outline="0" fieldPosition="0">
        <references count="2">
          <reference field="4294967294" count="1" selected="0">
            <x v="0"/>
          </reference>
          <reference field="20" count="1" selected="0">
            <x v="51"/>
          </reference>
        </references>
      </pivotArea>
    </chartFormat>
    <chartFormat chart="40" format="52">
      <pivotArea type="data" outline="0" fieldPosition="0">
        <references count="2">
          <reference field="4294967294" count="1" selected="0">
            <x v="0"/>
          </reference>
          <reference field="20" count="1" selected="0">
            <x v="52"/>
          </reference>
        </references>
      </pivotArea>
    </chartFormat>
    <chartFormat chart="40" format="53">
      <pivotArea type="data" outline="0" fieldPosition="0">
        <references count="2">
          <reference field="4294967294" count="1" selected="0">
            <x v="0"/>
          </reference>
          <reference field="20" count="1" selected="0">
            <x v="53"/>
          </reference>
        </references>
      </pivotArea>
    </chartFormat>
    <chartFormat chart="40" format="54">
      <pivotArea type="data" outline="0" fieldPosition="0">
        <references count="2">
          <reference field="4294967294" count="1" selected="0">
            <x v="0"/>
          </reference>
          <reference field="20" count="1" selected="0">
            <x v="54"/>
          </reference>
        </references>
      </pivotArea>
    </chartFormat>
    <chartFormat chart="40" format="55">
      <pivotArea type="data" outline="0" fieldPosition="0">
        <references count="2">
          <reference field="4294967294" count="1" selected="0">
            <x v="0"/>
          </reference>
          <reference field="20" count="1" selected="0">
            <x v="55"/>
          </reference>
        </references>
      </pivotArea>
    </chartFormat>
    <chartFormat chart="40" format="56">
      <pivotArea type="data" outline="0" fieldPosition="0">
        <references count="2">
          <reference field="4294967294" count="1" selected="0">
            <x v="0"/>
          </reference>
          <reference field="20" count="1" selected="0">
            <x v="56"/>
          </reference>
        </references>
      </pivotArea>
    </chartFormat>
    <chartFormat chart="40" format="57">
      <pivotArea type="data" outline="0" fieldPosition="0">
        <references count="2">
          <reference field="4294967294" count="1" selected="0">
            <x v="0"/>
          </reference>
          <reference field="20" count="1" selected="0">
            <x v="57"/>
          </reference>
        </references>
      </pivotArea>
    </chartFormat>
    <chartFormat chart="40" format="58">
      <pivotArea type="data" outline="0" fieldPosition="0">
        <references count="2">
          <reference field="4294967294" count="1" selected="0">
            <x v="0"/>
          </reference>
          <reference field="20" count="1" selected="0">
            <x v="58"/>
          </reference>
        </references>
      </pivotArea>
    </chartFormat>
    <chartFormat chart="40" format="59">
      <pivotArea type="data" outline="0" fieldPosition="0">
        <references count="2">
          <reference field="4294967294" count="1" selected="0">
            <x v="0"/>
          </reference>
          <reference field="20" count="1" selected="0">
            <x v="59"/>
          </reference>
        </references>
      </pivotArea>
    </chartFormat>
    <chartFormat chart="40" format="60">
      <pivotArea type="data" outline="0" fieldPosition="0">
        <references count="2">
          <reference field="4294967294" count="1" selected="0">
            <x v="0"/>
          </reference>
          <reference field="20" count="1" selected="0">
            <x v="60"/>
          </reference>
        </references>
      </pivotArea>
    </chartFormat>
    <chartFormat chart="40" format="61">
      <pivotArea type="data" outline="0" fieldPosition="0">
        <references count="2">
          <reference field="4294967294" count="1" selected="0">
            <x v="0"/>
          </reference>
          <reference field="20" count="1" selected="0">
            <x v="61"/>
          </reference>
        </references>
      </pivotArea>
    </chartFormat>
    <chartFormat chart="40" format="62">
      <pivotArea type="data" outline="0" fieldPosition="0">
        <references count="2">
          <reference field="4294967294" count="1" selected="0">
            <x v="0"/>
          </reference>
          <reference field="20" count="1" selected="0">
            <x v="62"/>
          </reference>
        </references>
      </pivotArea>
    </chartFormat>
    <chartFormat chart="40" format="63">
      <pivotArea type="data" outline="0" fieldPosition="0">
        <references count="2">
          <reference field="4294967294" count="1" selected="0">
            <x v="0"/>
          </reference>
          <reference field="20" count="1" selected="0">
            <x v="63"/>
          </reference>
        </references>
      </pivotArea>
    </chartFormat>
    <chartFormat chart="40" format="64">
      <pivotArea type="data" outline="0" fieldPosition="0">
        <references count="2">
          <reference field="4294967294" count="1" selected="0">
            <x v="0"/>
          </reference>
          <reference field="20" count="1" selected="0">
            <x v="64"/>
          </reference>
        </references>
      </pivotArea>
    </chartFormat>
    <chartFormat chart="40" format="65">
      <pivotArea type="data" outline="0" fieldPosition="0">
        <references count="2">
          <reference field="4294967294" count="1" selected="0">
            <x v="0"/>
          </reference>
          <reference field="20" count="1" selected="0">
            <x v="65"/>
          </reference>
        </references>
      </pivotArea>
    </chartFormat>
    <chartFormat chart="40" format="66">
      <pivotArea type="data" outline="0" fieldPosition="0">
        <references count="2">
          <reference field="4294967294" count="1" selected="0">
            <x v="0"/>
          </reference>
          <reference field="20" count="1" selected="0">
            <x v="66"/>
          </reference>
        </references>
      </pivotArea>
    </chartFormat>
    <chartFormat chart="40" format="67">
      <pivotArea type="data" outline="0" fieldPosition="0">
        <references count="2">
          <reference field="4294967294" count="1" selected="0">
            <x v="0"/>
          </reference>
          <reference field="20" count="1" selected="0">
            <x v="67"/>
          </reference>
        </references>
      </pivotArea>
    </chartFormat>
    <chartFormat chart="40" format="68">
      <pivotArea type="data" outline="0" fieldPosition="0">
        <references count="2">
          <reference field="4294967294" count="1" selected="0">
            <x v="0"/>
          </reference>
          <reference field="20" count="1" selected="0">
            <x v="68"/>
          </reference>
        </references>
      </pivotArea>
    </chartFormat>
    <chartFormat chart="40" format="69">
      <pivotArea type="data" outline="0" fieldPosition="0">
        <references count="2">
          <reference field="4294967294" count="1" selected="0">
            <x v="0"/>
          </reference>
          <reference field="20" count="1" selected="0">
            <x v="69"/>
          </reference>
        </references>
      </pivotArea>
    </chartFormat>
    <chartFormat chart="40" format="70">
      <pivotArea type="data" outline="0" fieldPosition="0">
        <references count="2">
          <reference field="4294967294" count="1" selected="0">
            <x v="0"/>
          </reference>
          <reference field="20" count="1" selected="0">
            <x v="70"/>
          </reference>
        </references>
      </pivotArea>
    </chartFormat>
    <chartFormat chart="40" format="71">
      <pivotArea type="data" outline="0" fieldPosition="0">
        <references count="2">
          <reference field="4294967294" count="1" selected="0">
            <x v="0"/>
          </reference>
          <reference field="20" count="1" selected="0">
            <x v="71"/>
          </reference>
        </references>
      </pivotArea>
    </chartFormat>
    <chartFormat chart="40" format="72">
      <pivotArea type="data" outline="0" fieldPosition="0">
        <references count="2">
          <reference field="4294967294" count="1" selected="0">
            <x v="0"/>
          </reference>
          <reference field="20" count="1" selected="0">
            <x v="72"/>
          </reference>
        </references>
      </pivotArea>
    </chartFormat>
    <chartFormat chart="40" format="73">
      <pivotArea type="data" outline="0" fieldPosition="0">
        <references count="2">
          <reference field="4294967294" count="1" selected="0">
            <x v="0"/>
          </reference>
          <reference field="20" count="1" selected="0">
            <x v="73"/>
          </reference>
        </references>
      </pivotArea>
    </chartFormat>
    <chartFormat chart="40" format="74">
      <pivotArea type="data" outline="0" fieldPosition="0">
        <references count="2">
          <reference field="4294967294" count="1" selected="0">
            <x v="0"/>
          </reference>
          <reference field="20" count="1" selected="0">
            <x v="74"/>
          </reference>
        </references>
      </pivotArea>
    </chartFormat>
    <chartFormat chart="40" format="75">
      <pivotArea type="data" outline="0" fieldPosition="0">
        <references count="2">
          <reference field="4294967294" count="1" selected="0">
            <x v="0"/>
          </reference>
          <reference field="20" count="1" selected="0">
            <x v="75"/>
          </reference>
        </references>
      </pivotArea>
    </chartFormat>
    <chartFormat chart="40" format="76">
      <pivotArea type="data" outline="0" fieldPosition="0">
        <references count="2">
          <reference field="4294967294" count="1" selected="0">
            <x v="0"/>
          </reference>
          <reference field="20" count="1" selected="0">
            <x v="76"/>
          </reference>
        </references>
      </pivotArea>
    </chartFormat>
    <chartFormat chart="40" format="77">
      <pivotArea type="data" outline="0" fieldPosition="0">
        <references count="2">
          <reference field="4294967294" count="1" selected="0">
            <x v="0"/>
          </reference>
          <reference field="20" count="1" selected="0">
            <x v="77"/>
          </reference>
        </references>
      </pivotArea>
    </chartFormat>
    <chartFormat chart="40" format="78">
      <pivotArea type="data" outline="0" fieldPosition="0">
        <references count="2">
          <reference field="4294967294" count="1" selected="0">
            <x v="0"/>
          </reference>
          <reference field="20" count="1" selected="0">
            <x v="78"/>
          </reference>
        </references>
      </pivotArea>
    </chartFormat>
    <chartFormat chart="40" format="79">
      <pivotArea type="data" outline="0" fieldPosition="0">
        <references count="2">
          <reference field="4294967294" count="1" selected="0">
            <x v="0"/>
          </reference>
          <reference field="20" count="1" selected="0">
            <x v="79"/>
          </reference>
        </references>
      </pivotArea>
    </chartFormat>
    <chartFormat chart="40" format="80">
      <pivotArea type="data" outline="0" fieldPosition="0">
        <references count="2">
          <reference field="4294967294" count="1" selected="0">
            <x v="0"/>
          </reference>
          <reference field="20" count="1" selected="0">
            <x v="80"/>
          </reference>
        </references>
      </pivotArea>
    </chartFormat>
    <chartFormat chart="40" format="81">
      <pivotArea type="data" outline="0" fieldPosition="0">
        <references count="2">
          <reference field="4294967294" count="1" selected="0">
            <x v="0"/>
          </reference>
          <reference field="20" count="1" selected="0">
            <x v="81"/>
          </reference>
        </references>
      </pivotArea>
    </chartFormat>
    <chartFormat chart="40" format="82">
      <pivotArea type="data" outline="0" fieldPosition="0">
        <references count="2">
          <reference field="4294967294" count="1" selected="0">
            <x v="0"/>
          </reference>
          <reference field="20" count="1" selected="0">
            <x v="82"/>
          </reference>
        </references>
      </pivotArea>
    </chartFormat>
    <chartFormat chart="40" format="83">
      <pivotArea type="data" outline="0" fieldPosition="0">
        <references count="2">
          <reference field="4294967294" count="1" selected="0">
            <x v="0"/>
          </reference>
          <reference field="20" count="1" selected="0">
            <x v="83"/>
          </reference>
        </references>
      </pivotArea>
    </chartFormat>
    <chartFormat chart="40" format="84">
      <pivotArea type="data" outline="0" fieldPosition="0">
        <references count="2">
          <reference field="4294967294" count="1" selected="0">
            <x v="0"/>
          </reference>
          <reference field="20" count="1" selected="0">
            <x v="84"/>
          </reference>
        </references>
      </pivotArea>
    </chartFormat>
    <chartFormat chart="40" format="85">
      <pivotArea type="data" outline="0" fieldPosition="0">
        <references count="2">
          <reference field="4294967294" count="1" selected="0">
            <x v="0"/>
          </reference>
          <reference field="20" count="1" selected="0">
            <x v="85"/>
          </reference>
        </references>
      </pivotArea>
    </chartFormat>
    <chartFormat chart="40" format="86">
      <pivotArea type="data" outline="0" fieldPosition="0">
        <references count="2">
          <reference field="4294967294" count="1" selected="0">
            <x v="0"/>
          </reference>
          <reference field="20" count="1" selected="0">
            <x v="86"/>
          </reference>
        </references>
      </pivotArea>
    </chartFormat>
    <chartFormat chart="40" format="87">
      <pivotArea type="data" outline="0" fieldPosition="0">
        <references count="2">
          <reference field="4294967294" count="1" selected="0">
            <x v="0"/>
          </reference>
          <reference field="20" count="1" selected="0">
            <x v="87"/>
          </reference>
        </references>
      </pivotArea>
    </chartFormat>
    <chartFormat chart="40" format="88">
      <pivotArea type="data" outline="0" fieldPosition="0">
        <references count="2">
          <reference field="4294967294" count="1" selected="0">
            <x v="0"/>
          </reference>
          <reference field="20" count="1" selected="0">
            <x v="88"/>
          </reference>
        </references>
      </pivotArea>
    </chartFormat>
    <chartFormat chart="40" format="89">
      <pivotArea type="data" outline="0" fieldPosition="0">
        <references count="2">
          <reference field="4294967294" count="1" selected="0">
            <x v="0"/>
          </reference>
          <reference field="20" count="1" selected="0">
            <x v="89"/>
          </reference>
        </references>
      </pivotArea>
    </chartFormat>
    <chartFormat chart="40" format="90">
      <pivotArea type="data" outline="0" fieldPosition="0">
        <references count="2">
          <reference field="4294967294" count="1" selected="0">
            <x v="0"/>
          </reference>
          <reference field="20" count="1" selected="0">
            <x v="90"/>
          </reference>
        </references>
      </pivotArea>
    </chartFormat>
    <chartFormat chart="40" format="91">
      <pivotArea type="data" outline="0" fieldPosition="0">
        <references count="2">
          <reference field="4294967294" count="1" selected="0">
            <x v="0"/>
          </reference>
          <reference field="20" count="1" selected="0">
            <x v="91"/>
          </reference>
        </references>
      </pivotArea>
    </chartFormat>
    <chartFormat chart="40" format="92">
      <pivotArea type="data" outline="0" fieldPosition="0">
        <references count="2">
          <reference field="4294967294" count="1" selected="0">
            <x v="0"/>
          </reference>
          <reference field="20" count="1" selected="0">
            <x v="92"/>
          </reference>
        </references>
      </pivotArea>
    </chartFormat>
    <chartFormat chart="40" format="93">
      <pivotArea type="data" outline="0" fieldPosition="0">
        <references count="2">
          <reference field="4294967294" count="1" selected="0">
            <x v="0"/>
          </reference>
          <reference field="20" count="1" selected="0">
            <x v="93"/>
          </reference>
        </references>
      </pivotArea>
    </chartFormat>
    <chartFormat chart="40" format="94">
      <pivotArea type="data" outline="0" fieldPosition="0">
        <references count="2">
          <reference field="4294967294" count="1" selected="0">
            <x v="0"/>
          </reference>
          <reference field="20" count="1" selected="0">
            <x v="94"/>
          </reference>
        </references>
      </pivotArea>
    </chartFormat>
    <chartFormat chart="40" format="95">
      <pivotArea type="data" outline="0" fieldPosition="0">
        <references count="2">
          <reference field="4294967294" count="1" selected="0">
            <x v="0"/>
          </reference>
          <reference field="20" count="1" selected="0">
            <x v="95"/>
          </reference>
        </references>
      </pivotArea>
    </chartFormat>
    <chartFormat chart="40" format="96">
      <pivotArea type="data" outline="0" fieldPosition="0">
        <references count="2">
          <reference field="4294967294" count="1" selected="0">
            <x v="0"/>
          </reference>
          <reference field="20" count="1" selected="0">
            <x v="96"/>
          </reference>
        </references>
      </pivotArea>
    </chartFormat>
    <chartFormat chart="40" format="97">
      <pivotArea type="data" outline="0" fieldPosition="0">
        <references count="2">
          <reference field="4294967294" count="1" selected="0">
            <x v="0"/>
          </reference>
          <reference field="20" count="1" selected="0">
            <x v="97"/>
          </reference>
        </references>
      </pivotArea>
    </chartFormat>
    <chartFormat chart="40" format="98">
      <pivotArea type="data" outline="0" fieldPosition="0">
        <references count="2">
          <reference field="4294967294" count="1" selected="0">
            <x v="0"/>
          </reference>
          <reference field="20" count="1" selected="0">
            <x v="98"/>
          </reference>
        </references>
      </pivotArea>
    </chartFormat>
    <chartFormat chart="40" format="99">
      <pivotArea type="data" outline="0" fieldPosition="0">
        <references count="2">
          <reference field="4294967294" count="1" selected="0">
            <x v="0"/>
          </reference>
          <reference field="20" count="1" selected="0">
            <x v="9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9189176-3A04-4EAE-AE00-6ABE2B6B4C37}" name="PivotTable2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location ref="A92:AA107" firstHeaderRow="1" firstDataRow="2" firstDataCol="1"/>
  <pivotFields count="31">
    <pivotField numFmtId="22" showAll="0"/>
    <pivotField showAll="0"/>
    <pivotField showAll="0"/>
    <pivotField showAll="0"/>
    <pivotField showAll="0"/>
    <pivotField showAll="0"/>
    <pivotField dataField="1" showAll="0"/>
    <pivotField showAll="0"/>
    <pivotField numFmtId="22" showAll="0"/>
    <pivotField showAll="0"/>
    <pivotField axis="axisRow" showAll="0">
      <items count="2">
        <item x="0"/>
        <item t="default"/>
      </items>
    </pivotField>
    <pivotField showAll="0"/>
    <pivotField axis="axisRow" showAll="0">
      <items count="13">
        <item x="9"/>
        <item x="7"/>
        <item x="10"/>
        <item x="8"/>
        <item x="0"/>
        <item x="2"/>
        <item x="1"/>
        <item x="11"/>
        <item x="5"/>
        <item x="3"/>
        <item x="4"/>
        <item x="6"/>
        <item t="default"/>
      </items>
    </pivotField>
    <pivotField showAll="0">
      <items count="5">
        <item x="0"/>
        <item x="1"/>
        <item x="2"/>
        <item m="1" x="3"/>
        <item t="default"/>
      </items>
    </pivotField>
    <pivotField showAll="0"/>
    <pivotField showAll="0"/>
    <pivotField showAll="0"/>
    <pivotField showAll="0">
      <items count="4">
        <item x="2"/>
        <item x="1"/>
        <item x="0"/>
        <item t="default"/>
      </items>
    </pivotField>
    <pivotField showAll="0">
      <items count="5">
        <item x="0"/>
        <item x="1"/>
        <item x="2"/>
        <item m="1" x="3"/>
        <item t="default"/>
      </items>
    </pivotField>
    <pivotField axis="axisCol"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showAll="0"/>
    <pivotField showAll="0"/>
    <pivotField showAll="0">
      <items count="6">
        <item x="4"/>
        <item x="1"/>
        <item x="3"/>
        <item x="0"/>
        <item x="2"/>
        <item t="default"/>
      </items>
    </pivotField>
    <pivotField showAll="0"/>
    <pivotField showAll="0"/>
    <pivotField showAll="0">
      <items count="4">
        <item x="2"/>
        <item x="1"/>
        <item x="0"/>
        <item t="default"/>
      </items>
    </pivotField>
    <pivotField showAll="0"/>
    <pivotField showAll="0"/>
    <pivotField dragToRow="0" dragToCol="0" dragToPage="0" showAll="0" defaultSubtotal="0"/>
    <pivotField dragToRow="0" dragToCol="0" dragToPage="0" showAll="0" defaultSubtotal="0"/>
  </pivotFields>
  <rowFields count="2">
    <field x="10"/>
    <field x="12"/>
  </rowFields>
  <rowItems count="14">
    <i>
      <x/>
    </i>
    <i r="1">
      <x/>
    </i>
    <i r="1">
      <x v="1"/>
    </i>
    <i r="1">
      <x v="2"/>
    </i>
    <i r="1">
      <x v="3"/>
    </i>
    <i r="1">
      <x v="4"/>
    </i>
    <i r="1">
      <x v="5"/>
    </i>
    <i r="1">
      <x v="6"/>
    </i>
    <i r="1">
      <x v="7"/>
    </i>
    <i r="1">
      <x v="8"/>
    </i>
    <i r="1">
      <x v="9"/>
    </i>
    <i r="1">
      <x v="10"/>
    </i>
    <i r="1">
      <x v="11"/>
    </i>
    <i t="grand">
      <x/>
    </i>
  </rowItems>
  <colFields count="1">
    <field x="19"/>
  </colFields>
  <colItems count="26">
    <i>
      <x/>
    </i>
    <i>
      <x v="1"/>
    </i>
    <i>
      <x v="2"/>
    </i>
    <i>
      <x v="3"/>
    </i>
    <i>
      <x v="4"/>
    </i>
    <i>
      <x v="5"/>
    </i>
    <i>
      <x v="6"/>
    </i>
    <i>
      <x v="7"/>
    </i>
    <i>
      <x v="8"/>
    </i>
    <i>
      <x v="9"/>
    </i>
    <i>
      <x v="10"/>
    </i>
    <i>
      <x v="11"/>
    </i>
    <i>
      <x v="12"/>
    </i>
    <i>
      <x v="13"/>
    </i>
    <i>
      <x v="14"/>
    </i>
    <i>
      <x v="15"/>
    </i>
    <i>
      <x v="16"/>
    </i>
    <i>
      <x v="17"/>
    </i>
    <i>
      <x v="18"/>
    </i>
    <i>
      <x v="19"/>
    </i>
    <i>
      <x v="20"/>
    </i>
    <i>
      <x v="21"/>
    </i>
    <i>
      <x v="22"/>
    </i>
    <i>
      <x v="23"/>
    </i>
    <i>
      <x v="24"/>
    </i>
    <i t="grand">
      <x/>
    </i>
  </colItems>
  <dataFields count="1">
    <dataField name="Sum of ProductRevenue" fld="6" baseField="0" baseItem="0"/>
  </dataFields>
  <chartFormats count="28">
    <chartFormat chart="12" format="0"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8" format="0" series="1">
      <pivotArea type="data" outline="0" fieldPosition="0">
        <references count="2">
          <reference field="4294967294" count="1" selected="0">
            <x v="0"/>
          </reference>
          <reference field="19" count="1" selected="0">
            <x v="0"/>
          </reference>
        </references>
      </pivotArea>
    </chartFormat>
    <chartFormat chart="18" format="1" series="1">
      <pivotArea type="data" outline="0" fieldPosition="0">
        <references count="2">
          <reference field="4294967294" count="1" selected="0">
            <x v="0"/>
          </reference>
          <reference field="19" count="1" selected="0">
            <x v="1"/>
          </reference>
        </references>
      </pivotArea>
    </chartFormat>
    <chartFormat chart="18" format="2" series="1">
      <pivotArea type="data" outline="0" fieldPosition="0">
        <references count="2">
          <reference field="4294967294" count="1" selected="0">
            <x v="0"/>
          </reference>
          <reference field="19" count="1" selected="0">
            <x v="2"/>
          </reference>
        </references>
      </pivotArea>
    </chartFormat>
    <chartFormat chart="18" format="3" series="1">
      <pivotArea type="data" outline="0" fieldPosition="0">
        <references count="2">
          <reference field="4294967294" count="1" selected="0">
            <x v="0"/>
          </reference>
          <reference field="19" count="1" selected="0">
            <x v="3"/>
          </reference>
        </references>
      </pivotArea>
    </chartFormat>
    <chartFormat chart="18" format="4" series="1">
      <pivotArea type="data" outline="0" fieldPosition="0">
        <references count="2">
          <reference field="4294967294" count="1" selected="0">
            <x v="0"/>
          </reference>
          <reference field="19" count="1" selected="0">
            <x v="4"/>
          </reference>
        </references>
      </pivotArea>
    </chartFormat>
    <chartFormat chart="18" format="5" series="1">
      <pivotArea type="data" outline="0" fieldPosition="0">
        <references count="2">
          <reference field="4294967294" count="1" selected="0">
            <x v="0"/>
          </reference>
          <reference field="19" count="1" selected="0">
            <x v="5"/>
          </reference>
        </references>
      </pivotArea>
    </chartFormat>
    <chartFormat chart="18" format="6" series="1">
      <pivotArea type="data" outline="0" fieldPosition="0">
        <references count="2">
          <reference field="4294967294" count="1" selected="0">
            <x v="0"/>
          </reference>
          <reference field="19" count="1" selected="0">
            <x v="6"/>
          </reference>
        </references>
      </pivotArea>
    </chartFormat>
    <chartFormat chart="18" format="7" series="1">
      <pivotArea type="data" outline="0" fieldPosition="0">
        <references count="2">
          <reference field="4294967294" count="1" selected="0">
            <x v="0"/>
          </reference>
          <reference field="19" count="1" selected="0">
            <x v="7"/>
          </reference>
        </references>
      </pivotArea>
    </chartFormat>
    <chartFormat chart="18" format="8" series="1">
      <pivotArea type="data" outline="0" fieldPosition="0">
        <references count="2">
          <reference field="4294967294" count="1" selected="0">
            <x v="0"/>
          </reference>
          <reference field="19" count="1" selected="0">
            <x v="8"/>
          </reference>
        </references>
      </pivotArea>
    </chartFormat>
    <chartFormat chart="18" format="9" series="1">
      <pivotArea type="data" outline="0" fieldPosition="0">
        <references count="2">
          <reference field="4294967294" count="1" selected="0">
            <x v="0"/>
          </reference>
          <reference field="19" count="1" selected="0">
            <x v="9"/>
          </reference>
        </references>
      </pivotArea>
    </chartFormat>
    <chartFormat chart="18" format="10" series="1">
      <pivotArea type="data" outline="0" fieldPosition="0">
        <references count="2">
          <reference field="4294967294" count="1" selected="0">
            <x v="0"/>
          </reference>
          <reference field="19" count="1" selected="0">
            <x v="10"/>
          </reference>
        </references>
      </pivotArea>
    </chartFormat>
    <chartFormat chart="18" format="11" series="1">
      <pivotArea type="data" outline="0" fieldPosition="0">
        <references count="2">
          <reference field="4294967294" count="1" selected="0">
            <x v="0"/>
          </reference>
          <reference field="19" count="1" selected="0">
            <x v="11"/>
          </reference>
        </references>
      </pivotArea>
    </chartFormat>
    <chartFormat chart="18" format="12" series="1">
      <pivotArea type="data" outline="0" fieldPosition="0">
        <references count="2">
          <reference field="4294967294" count="1" selected="0">
            <x v="0"/>
          </reference>
          <reference field="19" count="1" selected="0">
            <x v="12"/>
          </reference>
        </references>
      </pivotArea>
    </chartFormat>
    <chartFormat chart="18" format="13" series="1">
      <pivotArea type="data" outline="0" fieldPosition="0">
        <references count="2">
          <reference field="4294967294" count="1" selected="0">
            <x v="0"/>
          </reference>
          <reference field="19" count="1" selected="0">
            <x v="13"/>
          </reference>
        </references>
      </pivotArea>
    </chartFormat>
    <chartFormat chart="18" format="14" series="1">
      <pivotArea type="data" outline="0" fieldPosition="0">
        <references count="2">
          <reference field="4294967294" count="1" selected="0">
            <x v="0"/>
          </reference>
          <reference field="19" count="1" selected="0">
            <x v="14"/>
          </reference>
        </references>
      </pivotArea>
    </chartFormat>
    <chartFormat chart="18" format="15" series="1">
      <pivotArea type="data" outline="0" fieldPosition="0">
        <references count="2">
          <reference field="4294967294" count="1" selected="0">
            <x v="0"/>
          </reference>
          <reference field="19" count="1" selected="0">
            <x v="15"/>
          </reference>
        </references>
      </pivotArea>
    </chartFormat>
    <chartFormat chart="18" format="16" series="1">
      <pivotArea type="data" outline="0" fieldPosition="0">
        <references count="2">
          <reference field="4294967294" count="1" selected="0">
            <x v="0"/>
          </reference>
          <reference field="19" count="1" selected="0">
            <x v="16"/>
          </reference>
        </references>
      </pivotArea>
    </chartFormat>
    <chartFormat chart="18" format="17" series="1">
      <pivotArea type="data" outline="0" fieldPosition="0">
        <references count="2">
          <reference field="4294967294" count="1" selected="0">
            <x v="0"/>
          </reference>
          <reference field="19" count="1" selected="0">
            <x v="17"/>
          </reference>
        </references>
      </pivotArea>
    </chartFormat>
    <chartFormat chart="18" format="18" series="1">
      <pivotArea type="data" outline="0" fieldPosition="0">
        <references count="2">
          <reference field="4294967294" count="1" selected="0">
            <x v="0"/>
          </reference>
          <reference field="19" count="1" selected="0">
            <x v="18"/>
          </reference>
        </references>
      </pivotArea>
    </chartFormat>
    <chartFormat chart="18" format="19" series="1">
      <pivotArea type="data" outline="0" fieldPosition="0">
        <references count="2">
          <reference field="4294967294" count="1" selected="0">
            <x v="0"/>
          </reference>
          <reference field="19" count="1" selected="0">
            <x v="19"/>
          </reference>
        </references>
      </pivotArea>
    </chartFormat>
    <chartFormat chart="18" format="20" series="1">
      <pivotArea type="data" outline="0" fieldPosition="0">
        <references count="2">
          <reference field="4294967294" count="1" selected="0">
            <x v="0"/>
          </reference>
          <reference field="19" count="1" selected="0">
            <x v="20"/>
          </reference>
        </references>
      </pivotArea>
    </chartFormat>
    <chartFormat chart="18" format="21" series="1">
      <pivotArea type="data" outline="0" fieldPosition="0">
        <references count="2">
          <reference field="4294967294" count="1" selected="0">
            <x v="0"/>
          </reference>
          <reference field="19" count="1" selected="0">
            <x v="21"/>
          </reference>
        </references>
      </pivotArea>
    </chartFormat>
    <chartFormat chart="18" format="22" series="1">
      <pivotArea type="data" outline="0" fieldPosition="0">
        <references count="2">
          <reference field="4294967294" count="1" selected="0">
            <x v="0"/>
          </reference>
          <reference field="19" count="1" selected="0">
            <x v="22"/>
          </reference>
        </references>
      </pivotArea>
    </chartFormat>
    <chartFormat chart="18" format="23" series="1">
      <pivotArea type="data" outline="0" fieldPosition="0">
        <references count="2">
          <reference field="4294967294" count="1" selected="0">
            <x v="0"/>
          </reference>
          <reference field="19" count="1" selected="0">
            <x v="23"/>
          </reference>
        </references>
      </pivotArea>
    </chartFormat>
    <chartFormat chart="18" format="24" series="1">
      <pivotArea type="data" outline="0" fieldPosition="0">
        <references count="2">
          <reference field="4294967294" count="1" selected="0">
            <x v="0"/>
          </reference>
          <reference field="19" count="1" selected="0">
            <x v="24"/>
          </reference>
        </references>
      </pivotArea>
    </chartFormat>
    <chartFormat chart="18" format="2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932CD1C2-AB50-403E-945E-5FF7DA22D8D6}" name="PivotTable15"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7">
  <location ref="G346:G446"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85">
        <item x="3"/>
        <item x="1"/>
        <item x="5"/>
        <item x="480"/>
        <item x="204"/>
        <item x="389"/>
        <item x="4"/>
        <item x="174"/>
        <item x="483"/>
        <item x="191"/>
        <item x="481"/>
        <item x="55"/>
        <item x="49"/>
        <item x="482"/>
        <item x="478"/>
        <item x="297"/>
        <item x="226"/>
        <item x="0"/>
        <item x="209"/>
        <item x="430"/>
        <item x="2"/>
        <item x="41"/>
        <item x="339"/>
        <item x="119"/>
        <item x="455"/>
        <item x="255"/>
        <item x="244"/>
        <item x="427"/>
        <item x="82"/>
        <item x="175"/>
        <item x="416"/>
        <item x="110"/>
        <item x="76"/>
        <item x="261"/>
        <item x="404"/>
        <item x="399"/>
        <item x="350"/>
        <item x="324"/>
        <item x="371"/>
        <item x="412"/>
        <item x="393"/>
        <item x="85"/>
        <item x="138"/>
        <item x="259"/>
        <item x="169"/>
        <item x="401"/>
        <item x="6"/>
        <item x="212"/>
        <item x="157"/>
        <item x="414"/>
        <item x="322"/>
        <item x="47"/>
        <item x="16"/>
        <item x="388"/>
        <item x="170"/>
        <item x="183"/>
        <item x="18"/>
        <item x="99"/>
        <item x="349"/>
        <item x="415"/>
        <item x="263"/>
        <item x="184"/>
        <item x="58"/>
        <item x="153"/>
        <item x="251"/>
        <item x="454"/>
        <item x="121"/>
        <item x="462"/>
        <item x="124"/>
        <item x="256"/>
        <item x="479"/>
        <item x="228"/>
        <item x="353"/>
        <item x="366"/>
        <item x="31"/>
        <item x="225"/>
        <item x="298"/>
        <item x="301"/>
        <item x="32"/>
        <item x="287"/>
        <item x="313"/>
        <item x="9"/>
        <item x="142"/>
        <item x="383"/>
        <item x="178"/>
        <item x="80"/>
        <item x="445"/>
        <item x="461"/>
        <item x="456"/>
        <item x="422"/>
        <item x="376"/>
        <item x="180"/>
        <item x="320"/>
        <item x="51"/>
        <item x="306"/>
        <item x="240"/>
        <item x="192"/>
        <item x="146"/>
        <item x="150"/>
        <item x="285"/>
        <item x="344"/>
        <item x="213"/>
        <item x="78"/>
        <item x="278"/>
        <item x="117"/>
        <item x="96"/>
        <item x="381"/>
        <item x="254"/>
        <item x="127"/>
        <item x="8"/>
        <item x="101"/>
        <item x="326"/>
        <item x="91"/>
        <item x="72"/>
        <item x="173"/>
        <item x="429"/>
        <item x="238"/>
        <item x="433"/>
        <item x="163"/>
        <item x="475"/>
        <item x="156"/>
        <item x="149"/>
        <item x="352"/>
        <item x="329"/>
        <item x="342"/>
        <item x="64"/>
        <item x="111"/>
        <item x="379"/>
        <item x="167"/>
        <item x="166"/>
        <item x="347"/>
        <item x="364"/>
        <item x="424"/>
        <item x="269"/>
        <item x="122"/>
        <item x="30"/>
        <item x="476"/>
        <item x="362"/>
        <item x="45"/>
        <item x="132"/>
        <item x="323"/>
        <item x="81"/>
        <item x="177"/>
        <item x="186"/>
        <item x="185"/>
        <item x="330"/>
        <item x="314"/>
        <item x="390"/>
        <item x="338"/>
        <item x="12"/>
        <item x="343"/>
        <item x="10"/>
        <item x="328"/>
        <item x="288"/>
        <item x="248"/>
        <item x="442"/>
        <item x="271"/>
        <item x="449"/>
        <item x="56"/>
        <item x="374"/>
        <item x="354"/>
        <item x="164"/>
        <item x="89"/>
        <item x="312"/>
        <item x="440"/>
        <item x="470"/>
        <item x="392"/>
        <item x="102"/>
        <item x="190"/>
        <item x="468"/>
        <item x="417"/>
        <item x="227"/>
        <item x="321"/>
        <item x="447"/>
        <item x="421"/>
        <item x="179"/>
        <item x="378"/>
        <item x="413"/>
        <item x="292"/>
        <item x="436"/>
        <item x="438"/>
        <item x="369"/>
        <item x="53"/>
        <item x="473"/>
        <item x="345"/>
        <item x="94"/>
        <item x="471"/>
        <item x="63"/>
        <item x="432"/>
        <item x="187"/>
        <item x="317"/>
        <item x="459"/>
        <item x="207"/>
        <item x="143"/>
        <item x="405"/>
        <item x="37"/>
        <item x="310"/>
        <item x="181"/>
        <item x="104"/>
        <item x="74"/>
        <item x="267"/>
        <item x="367"/>
        <item x="406"/>
        <item x="395"/>
        <item x="137"/>
        <item x="27"/>
        <item x="410"/>
        <item x="472"/>
        <item x="57"/>
        <item x="346"/>
        <item x="75"/>
        <item x="411"/>
        <item x="437"/>
        <item x="68"/>
        <item x="368"/>
        <item x="387"/>
        <item x="193"/>
        <item x="84"/>
        <item x="370"/>
        <item x="172"/>
        <item x="242"/>
        <item x="62"/>
        <item x="168"/>
        <item x="79"/>
        <item x="304"/>
        <item x="375"/>
        <item x="105"/>
        <item x="218"/>
        <item x="332"/>
        <item x="125"/>
        <item x="400"/>
        <item x="241"/>
        <item x="291"/>
        <item x="325"/>
        <item x="230"/>
        <item x="391"/>
        <item x="264"/>
        <item x="300"/>
        <item x="477"/>
        <item x="290"/>
        <item x="73"/>
        <item x="334"/>
        <item x="386"/>
        <item x="13"/>
        <item x="128"/>
        <item x="216"/>
        <item x="423"/>
        <item x="54"/>
        <item x="268"/>
        <item x="29"/>
        <item x="458"/>
        <item x="171"/>
        <item x="88"/>
        <item x="270"/>
        <item x="327"/>
        <item x="15"/>
        <item x="176"/>
        <item x="40"/>
        <item x="372"/>
        <item x="283"/>
        <item x="130"/>
        <item x="103"/>
        <item x="23"/>
        <item x="67"/>
        <item x="250"/>
        <item x="284"/>
        <item x="450"/>
        <item x="14"/>
        <item x="83"/>
        <item x="233"/>
        <item x="66"/>
        <item x="408"/>
        <item x="208"/>
        <item x="220"/>
        <item x="43"/>
        <item x="214"/>
        <item x="21"/>
        <item x="265"/>
        <item x="236"/>
        <item x="33"/>
        <item x="431"/>
        <item x="302"/>
        <item x="86"/>
        <item x="452"/>
        <item x="205"/>
        <item x="252"/>
        <item x="341"/>
        <item x="426"/>
        <item x="239"/>
        <item x="276"/>
        <item x="136"/>
        <item x="155"/>
        <item x="90"/>
        <item x="112"/>
        <item x="333"/>
        <item x="309"/>
        <item x="235"/>
        <item x="358"/>
        <item x="20"/>
        <item x="195"/>
        <item x="466"/>
        <item x="460"/>
        <item x="398"/>
        <item x="189"/>
        <item x="356"/>
        <item x="46"/>
        <item x="224"/>
        <item x="474"/>
        <item x="59"/>
        <item x="444"/>
        <item x="44"/>
        <item x="221"/>
        <item x="457"/>
        <item x="198"/>
        <item x="377"/>
        <item x="293"/>
        <item x="420"/>
        <item x="380"/>
        <item x="443"/>
        <item x="331"/>
        <item x="382"/>
        <item x="182"/>
        <item x="22"/>
        <item x="246"/>
        <item x="194"/>
        <item x="107"/>
        <item x="282"/>
        <item x="165"/>
        <item x="403"/>
        <item x="357"/>
        <item x="134"/>
        <item x="229"/>
        <item x="281"/>
        <item x="11"/>
        <item x="42"/>
        <item x="129"/>
        <item x="217"/>
        <item x="435"/>
        <item x="465"/>
        <item x="215"/>
        <item x="428"/>
        <item x="258"/>
        <item x="219"/>
        <item x="24"/>
        <item x="77"/>
        <item x="384"/>
        <item x="439"/>
        <item x="144"/>
        <item x="50"/>
        <item x="363"/>
        <item x="249"/>
        <item x="280"/>
        <item x="113"/>
        <item x="245"/>
        <item x="336"/>
        <item x="48"/>
        <item x="451"/>
        <item x="365"/>
        <item x="100"/>
        <item x="139"/>
        <item x="206"/>
        <item x="360"/>
        <item x="361"/>
        <item x="247"/>
        <item x="93"/>
        <item x="70"/>
        <item x="199"/>
        <item x="311"/>
        <item x="154"/>
        <item x="118"/>
        <item x="131"/>
        <item x="385"/>
        <item x="407"/>
        <item x="464"/>
        <item x="243"/>
        <item x="340"/>
        <item x="7"/>
        <item x="106"/>
        <item x="286"/>
        <item x="425"/>
        <item x="266"/>
        <item x="28"/>
        <item x="277"/>
        <item x="335"/>
        <item x="253"/>
        <item x="289"/>
        <item x="275"/>
        <item x="34"/>
        <item x="305"/>
        <item x="120"/>
        <item x="348"/>
        <item x="65"/>
        <item x="273"/>
        <item x="161"/>
        <item x="418"/>
        <item x="160"/>
        <item x="71"/>
        <item x="188"/>
        <item x="152"/>
        <item x="469"/>
        <item x="203"/>
        <item x="201"/>
        <item x="272"/>
        <item x="211"/>
        <item x="274"/>
        <item x="453"/>
        <item x="308"/>
        <item x="434"/>
        <item x="202"/>
        <item x="260"/>
        <item x="351"/>
        <item x="373"/>
        <item x="147"/>
        <item x="39"/>
        <item x="133"/>
        <item x="419"/>
        <item x="316"/>
        <item x="262"/>
        <item x="299"/>
        <item x="409"/>
        <item x="318"/>
        <item x="17"/>
        <item x="232"/>
        <item x="141"/>
        <item x="114"/>
        <item x="295"/>
        <item x="396"/>
        <item x="315"/>
        <item x="279"/>
        <item x="355"/>
        <item x="61"/>
        <item x="148"/>
        <item x="95"/>
        <item x="145"/>
        <item x="359"/>
        <item x="200"/>
        <item x="162"/>
        <item x="151"/>
        <item x="25"/>
        <item x="35"/>
        <item x="123"/>
        <item x="38"/>
        <item x="19"/>
        <item x="467"/>
        <item x="196"/>
        <item x="36"/>
        <item x="294"/>
        <item x="98"/>
        <item x="397"/>
        <item x="337"/>
        <item x="60"/>
        <item x="116"/>
        <item x="115"/>
        <item x="237"/>
        <item x="210"/>
        <item x="307"/>
        <item x="319"/>
        <item x="109"/>
        <item x="296"/>
        <item x="140"/>
        <item x="402"/>
        <item x="26"/>
        <item x="69"/>
        <item x="197"/>
        <item x="92"/>
        <item x="394"/>
        <item x="223"/>
        <item x="222"/>
        <item x="97"/>
        <item x="441"/>
        <item x="87"/>
        <item x="108"/>
        <item x="52"/>
        <item x="159"/>
        <item x="303"/>
        <item x="448"/>
        <item x="158"/>
        <item x="446"/>
        <item x="463"/>
        <item x="135"/>
        <item x="234"/>
        <item x="257"/>
        <item x="231"/>
        <item x="126"/>
        <item t="default"/>
      </items>
    </pivotField>
    <pivotField compact="0" numFmtId="22" outline="0" showAll="0"/>
    <pivotField compact="0" outline="0" showAll="0"/>
    <pivotField compact="0" outline="0" showAll="0"/>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axis="axisRow" compact="0" outline="0" showAll="0">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pivotField>
    <pivotField compact="0" outline="0" showAll="0"/>
    <pivotField compact="0" outline="0" showAll="0"/>
    <pivotField compact="0" outline="0" showAll="0">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2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CFC4E47-7F21-436D-9DB2-D5542FDEB9EF}" name="Partner"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42">
  <location ref="A452:B552" firstHeaderRow="1" firstDataRow="1" firstDataCol="1"/>
  <pivotFields count="31">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numFmtId="22" outline="0" showAll="0"/>
    <pivotField compact="0" outline="0" showAll="0"/>
    <pivotField compact="0" outline="0" showAll="0">
      <items count="2">
        <item x="0"/>
        <item t="default"/>
      </items>
    </pivotField>
    <pivotField compact="0" outline="0" showAll="0"/>
    <pivotField compact="0" outline="0" showAll="0">
      <items count="13">
        <item x="9"/>
        <item x="7"/>
        <item x="10"/>
        <item x="8"/>
        <item x="0"/>
        <item x="2"/>
        <item x="1"/>
        <item x="11"/>
        <item x="5"/>
        <item x="3"/>
        <item x="4"/>
        <item x="6"/>
        <item t="default"/>
      </items>
    </pivotField>
    <pivotField compact="0" outline="0" showAll="0">
      <items count="5">
        <item x="0"/>
        <item x="1"/>
        <item x="2"/>
        <item m="1" x="3"/>
        <item t="default"/>
      </items>
    </pivotField>
    <pivotField compact="0" outline="0" showAll="0"/>
    <pivotField compact="0" outline="0" showAll="0"/>
    <pivotField compact="0" outline="0" showAll="0"/>
    <pivotField compact="0" outline="0" showAll="0">
      <items count="4">
        <item x="2"/>
        <item x="1"/>
        <item x="0"/>
        <item t="default"/>
      </items>
    </pivotField>
    <pivotField compact="0" outline="0" showAll="0">
      <items count="5">
        <item x="0"/>
        <item x="1"/>
        <item x="2"/>
        <item m="1" x="3"/>
        <item t="default"/>
      </items>
    </pivotField>
    <pivotField compact="0" outline="0" showAll="0">
      <items count="26">
        <item x="22"/>
        <item x="0"/>
        <item x="17"/>
        <item x="19"/>
        <item x="13"/>
        <item x="8"/>
        <item x="24"/>
        <item x="6"/>
        <item x="2"/>
        <item x="15"/>
        <item x="18"/>
        <item x="7"/>
        <item x="10"/>
        <item x="16"/>
        <item x="5"/>
        <item x="9"/>
        <item x="21"/>
        <item x="23"/>
        <item x="12"/>
        <item x="4"/>
        <item x="20"/>
        <item x="3"/>
        <item x="1"/>
        <item x="11"/>
        <item x="14"/>
        <item t="default"/>
      </items>
    </pivotField>
    <pivotField axis="axisRow" compact="0" outline="0" showAll="0" sortType="descending">
      <items count="101">
        <item x="61"/>
        <item x="40"/>
        <item x="20"/>
        <item x="93"/>
        <item x="63"/>
        <item x="41"/>
        <item x="8"/>
        <item x="0"/>
        <item x="33"/>
        <item x="9"/>
        <item x="14"/>
        <item x="31"/>
        <item x="21"/>
        <item x="87"/>
        <item x="69"/>
        <item x="62"/>
        <item x="18"/>
        <item x="49"/>
        <item x="81"/>
        <item x="5"/>
        <item x="58"/>
        <item x="83"/>
        <item x="66"/>
        <item x="85"/>
        <item x="12"/>
        <item x="84"/>
        <item x="78"/>
        <item x="22"/>
        <item x="97"/>
        <item x="6"/>
        <item x="94"/>
        <item x="50"/>
        <item x="51"/>
        <item x="72"/>
        <item x="10"/>
        <item x="55"/>
        <item x="95"/>
        <item x="73"/>
        <item x="48"/>
        <item x="11"/>
        <item x="74"/>
        <item x="82"/>
        <item x="2"/>
        <item x="26"/>
        <item x="80"/>
        <item x="47"/>
        <item x="35"/>
        <item x="65"/>
        <item x="91"/>
        <item x="92"/>
        <item x="38"/>
        <item x="24"/>
        <item x="88"/>
        <item x="54"/>
        <item x="96"/>
        <item x="29"/>
        <item x="4"/>
        <item x="16"/>
        <item x="56"/>
        <item x="99"/>
        <item x="15"/>
        <item x="53"/>
        <item x="75"/>
        <item x="30"/>
        <item x="28"/>
        <item x="25"/>
        <item x="13"/>
        <item x="44"/>
        <item x="23"/>
        <item x="52"/>
        <item x="3"/>
        <item x="89"/>
        <item x="43"/>
        <item x="71"/>
        <item x="90"/>
        <item x="76"/>
        <item x="7"/>
        <item x="60"/>
        <item x="17"/>
        <item x="79"/>
        <item x="19"/>
        <item x="37"/>
        <item x="36"/>
        <item x="70"/>
        <item x="42"/>
        <item x="67"/>
        <item x="98"/>
        <item x="34"/>
        <item x="39"/>
        <item x="32"/>
        <item x="64"/>
        <item x="57"/>
        <item x="86"/>
        <item x="77"/>
        <item x="59"/>
        <item x="1"/>
        <item x="27"/>
        <item x="46"/>
        <item x="45"/>
        <item x="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sortType="ascending">
      <items count="6">
        <item x="4"/>
        <item x="1"/>
        <item x="3"/>
        <item x="0"/>
        <item x="2"/>
        <item t="default"/>
      </items>
    </pivotField>
    <pivotField compact="0" outline="0" showAll="0"/>
    <pivotField compact="0" outline="0" showAll="0"/>
    <pivotField compact="0" outline="0" showAll="0">
      <items count="4">
        <item x="2"/>
        <item x="1"/>
        <item x="0"/>
        <item t="default"/>
      </items>
    </pivotField>
    <pivotField compact="0" outline="0" showAll="0"/>
    <pivotField compact="0" outline="0" showAll="0"/>
    <pivotField compact="0" outline="0" dragToRow="0" dragToCol="0" dragToPage="0" showAll="0" defaultSubtotal="0"/>
    <pivotField compact="0" outline="0" dragToRow="0" dragToCol="0" dragToPage="0" showAll="0" defaultSubtotal="0"/>
  </pivotFields>
  <rowFields count="1">
    <field x="20"/>
  </rowFields>
  <rowItems count="100">
    <i>
      <x v="12"/>
    </i>
    <i>
      <x v="76"/>
    </i>
    <i>
      <x v="42"/>
    </i>
    <i>
      <x v="63"/>
    </i>
    <i>
      <x v="89"/>
    </i>
    <i>
      <x v="15"/>
    </i>
    <i>
      <x v="75"/>
    </i>
    <i>
      <x v="97"/>
    </i>
    <i>
      <x v="54"/>
    </i>
    <i>
      <x v="31"/>
    </i>
    <i>
      <x v="39"/>
    </i>
    <i>
      <x v="64"/>
    </i>
    <i>
      <x v="55"/>
    </i>
    <i>
      <x v="36"/>
    </i>
    <i>
      <x v="24"/>
    </i>
    <i>
      <x v="94"/>
    </i>
    <i>
      <x v="23"/>
    </i>
    <i>
      <x v="51"/>
    </i>
    <i>
      <x v="88"/>
    </i>
    <i>
      <x v="27"/>
    </i>
    <i>
      <x v="45"/>
    </i>
    <i>
      <x v="56"/>
    </i>
    <i>
      <x v="28"/>
    </i>
    <i>
      <x v="85"/>
    </i>
    <i>
      <x v="5"/>
    </i>
    <i>
      <x v="66"/>
    </i>
    <i>
      <x v="16"/>
    </i>
    <i>
      <x v="6"/>
    </i>
    <i>
      <x v="68"/>
    </i>
    <i>
      <x v="26"/>
    </i>
    <i>
      <x v="41"/>
    </i>
    <i>
      <x v="50"/>
    </i>
    <i>
      <x v="4"/>
    </i>
    <i>
      <x v="81"/>
    </i>
    <i>
      <x v="10"/>
    </i>
    <i>
      <x v="46"/>
    </i>
    <i>
      <x v="29"/>
    </i>
    <i>
      <x v="8"/>
    </i>
    <i>
      <x v="49"/>
    </i>
    <i>
      <x v="90"/>
    </i>
    <i>
      <x v="67"/>
    </i>
    <i>
      <x v="58"/>
    </i>
    <i>
      <x v="14"/>
    </i>
    <i>
      <x v="78"/>
    </i>
    <i>
      <x v="47"/>
    </i>
    <i>
      <x v="44"/>
    </i>
    <i>
      <x v="32"/>
    </i>
    <i>
      <x v="43"/>
    </i>
    <i>
      <x v="7"/>
    </i>
    <i>
      <x v="52"/>
    </i>
    <i>
      <x v="2"/>
    </i>
    <i>
      <x v="98"/>
    </i>
    <i>
      <x v="1"/>
    </i>
    <i>
      <x v="17"/>
    </i>
    <i>
      <x v="11"/>
    </i>
    <i>
      <x v="9"/>
    </i>
    <i>
      <x v="20"/>
    </i>
    <i>
      <x v="71"/>
    </i>
    <i>
      <x v="61"/>
    </i>
    <i>
      <x v="70"/>
    </i>
    <i>
      <x v="57"/>
    </i>
    <i>
      <x v="69"/>
    </i>
    <i>
      <x v="65"/>
    </i>
    <i>
      <x v="21"/>
    </i>
    <i>
      <x v="18"/>
    </i>
    <i>
      <x v="93"/>
    </i>
    <i>
      <x v="60"/>
    </i>
    <i>
      <x v="35"/>
    </i>
    <i>
      <x v="83"/>
    </i>
    <i>
      <x v="99"/>
    </i>
    <i>
      <x v="13"/>
    </i>
    <i>
      <x v="34"/>
    </i>
    <i>
      <x v="96"/>
    </i>
    <i>
      <x v="40"/>
    </i>
    <i>
      <x/>
    </i>
    <i>
      <x v="25"/>
    </i>
    <i>
      <x v="87"/>
    </i>
    <i>
      <x v="30"/>
    </i>
    <i>
      <x v="80"/>
    </i>
    <i>
      <x v="53"/>
    </i>
    <i>
      <x v="74"/>
    </i>
    <i>
      <x v="3"/>
    </i>
    <i>
      <x v="79"/>
    </i>
    <i>
      <x v="77"/>
    </i>
    <i>
      <x v="86"/>
    </i>
    <i>
      <x v="22"/>
    </i>
    <i>
      <x v="37"/>
    </i>
    <i>
      <x v="73"/>
    </i>
    <i>
      <x v="59"/>
    </i>
    <i>
      <x v="48"/>
    </i>
    <i>
      <x v="72"/>
    </i>
    <i>
      <x v="91"/>
    </i>
    <i>
      <x v="33"/>
    </i>
    <i>
      <x v="62"/>
    </i>
    <i>
      <x v="84"/>
    </i>
    <i>
      <x v="38"/>
    </i>
    <i>
      <x v="19"/>
    </i>
    <i>
      <x v="82"/>
    </i>
    <i>
      <x v="92"/>
    </i>
    <i>
      <x v="95"/>
    </i>
  </rowItems>
  <colItems count="1">
    <i/>
  </colItems>
  <dataFields count="1">
    <dataField name="Revenue" fld="7" baseField="2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68E9043-4671-4926-A162-6608C9DD3A86}" autoFormatId="16" applyNumberFormats="0" applyBorderFormats="0" applyFontFormats="0" applyPatternFormats="0" applyAlignmentFormats="0" applyWidthHeightFormats="0">
  <queryTableRefresh nextId="34" unboundColumnsRight="2">
    <queryTableFields count="29">
      <queryTableField id="1" name="EstimatedCloseDate" tableColumnId="18"/>
      <queryTableField id="2" name="Opportunity ID" tableColumnId="2"/>
      <queryTableField id="3" name="Sales Stage ID" tableColumnId="3"/>
      <queryTableField id="4" name="Account ID" tableColumnId="4"/>
      <queryTableField id="5" name="Partner ID" tableColumnId="5"/>
      <queryTableField id="6" name="Product ID" tableColumnId="6"/>
      <queryTableField id="7" name="ProductRevenue" tableColumnId="7"/>
      <queryTableField id="8" name="FactoredProductRevenue" tableColumnId="8"/>
      <queryTableField id="9" name="Create Date" tableColumnId="9"/>
      <queryTableField id="10" name="Opportunity Days" tableColumnId="10"/>
      <queryTableField id="11" name="Year" tableColumnId="11"/>
      <queryTableField id="12" name="Month_Number" tableColumnId="12"/>
      <queryTableField id="13" name="Month" tableColumnId="13"/>
      <queryTableField id="14" name="Region" tableColumnId="14"/>
      <queryTableField id="18" name="Oppurtunity.Name" tableColumnId="19"/>
      <queryTableField id="19" name="Oppurtunity.Rank" tableColumnId="20"/>
      <queryTableField id="20" name="Oppurtunity.SizeID" tableColumnId="21"/>
      <queryTableField id="21" name="Oppurtunity.Opportunity Size" tableColumnId="22"/>
      <queryTableField id="22" name="Oppurtunity.Region" tableColumnId="23"/>
      <queryTableField id="23" name="Product.Product Code" tableColumnId="24"/>
      <queryTableField id="24" name="Partner.Partner" tableColumnId="25"/>
      <queryTableField id="25" name="Partner.Partner Driven" tableColumnId="26"/>
      <queryTableField id="26" name="salestage.Probability" tableColumnId="27"/>
      <queryTableField id="27" name="salestage.Sales Stage" tableColumnId="28"/>
      <queryTableField id="28" name="Account.Account" tableColumnId="29"/>
      <queryTableField id="29" name="Account.Region" tableColumnId="30"/>
      <queryTableField id="30" name="Account.Segment" tableColumnId="31"/>
      <queryTableField id="32" dataBound="0" tableColumnId="15"/>
      <queryTableField id="33" dataBound="0"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6E2F32E-A9F7-4669-A252-830587F015FA}" sourceName="Region">
  <pivotTables>
    <pivotTable tabId="8" name="PivotTable1"/>
    <pivotTable tabId="8" name="PivotTable29"/>
    <pivotTable tabId="8" name="Product"/>
    <pivotTable tabId="8" name="PivotTable4"/>
    <pivotTable tabId="8" name="PivotTable41"/>
    <pivotTable tabId="8" name="PivotTable42"/>
    <pivotTable tabId="8" name="PivotTable43"/>
    <pivotTable tabId="8" name="PivotTable44"/>
    <pivotTable tabId="8" name="PivotTable5"/>
    <pivotTable tabId="8" name="PivotTable6"/>
    <pivotTable tabId="8" name="PivotTable7"/>
    <pivotTable tabId="8" name="PivotTable8"/>
    <pivotTable tabId="8" name="PivotTable9"/>
    <pivotTable tabId="8" name="PivotTable10"/>
    <pivotTable tabId="8" name="PivotTable12"/>
    <pivotTable tabId="8" name="PivotTable13"/>
    <pivotTable tabId="8" name="PivotTable14"/>
    <pivotTable tabId="8" name="PivotTable15"/>
    <pivotTable tabId="8" name="Partner"/>
  </pivotTables>
  <data>
    <tabular pivotCacheId="49125929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Product_Code" xr10:uid="{9E0475CE-DAF9-4535-97AE-80F62AE77E5B}" sourceName="Product.Product Code">
  <pivotTables>
    <pivotTable tabId="8" name="PivotTable2"/>
    <pivotTable tabId="8" name="PivotTable1"/>
    <pivotTable tabId="8" name="PivotTable29"/>
    <pivotTable tabId="8" name="PivotTable4"/>
    <pivotTable tabId="8" name="PivotTable41"/>
    <pivotTable tabId="8" name="PivotTable42"/>
    <pivotTable tabId="8" name="PivotTable43"/>
    <pivotTable tabId="8" name="PivotTable44"/>
    <pivotTable tabId="8" name="PivotTable5"/>
    <pivotTable tabId="8" name="PivotTable6"/>
    <pivotTable tabId="8" name="PivotTable7"/>
    <pivotTable tabId="8" name="PivotTable8"/>
    <pivotTable tabId="8" name="PivotTable9"/>
    <pivotTable tabId="8" name="PivotTable10"/>
    <pivotTable tabId="8" name="PivotTable11"/>
    <pivotTable tabId="8" name="PivotTable12"/>
    <pivotTable tabId="8" name="PivotTable13"/>
    <pivotTable tabId="8" name="PivotTable14"/>
    <pivotTable tabId="8" name="PivotTable15"/>
    <pivotTable tabId="8" name="Partner"/>
  </pivotTables>
  <data>
    <tabular pivotCacheId="491259295">
      <items count="25">
        <i x="22" s="1"/>
        <i x="0" s="1"/>
        <i x="17" s="1"/>
        <i x="19" s="1"/>
        <i x="13" s="1"/>
        <i x="8" s="1"/>
        <i x="24" s="1"/>
        <i x="6" s="1"/>
        <i x="2" s="1"/>
        <i x="15" s="1"/>
        <i x="18" s="1"/>
        <i x="7" s="1"/>
        <i x="10" s="1"/>
        <i x="16" s="1"/>
        <i x="5" s="1"/>
        <i x="9" s="1"/>
        <i x="21" s="1"/>
        <i x="23" s="1"/>
        <i x="12" s="1"/>
        <i x="4" s="1"/>
        <i x="20" s="1"/>
        <i x="3" s="1"/>
        <i x="1" s="1"/>
        <i x="11" s="1"/>
        <i x="1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Partner" xr10:uid="{5A54F418-4ADE-4DCA-A4F8-A1C6B858792B}" sourceName="Partner.Partner">
  <pivotTables>
    <pivotTable tabId="8" name="PivotTable2"/>
    <pivotTable tabId="8" name="PivotTable1"/>
    <pivotTable tabId="8" name="PivotTable29"/>
    <pivotTable tabId="8" name="Product"/>
    <pivotTable tabId="8" name="PivotTable4"/>
    <pivotTable tabId="8" name="PivotTable41"/>
    <pivotTable tabId="8" name="PivotTable42"/>
    <pivotTable tabId="8" name="PivotTable43"/>
    <pivotTable tabId="8" name="PivotTable44"/>
    <pivotTable tabId="8" name="PivotTable5"/>
    <pivotTable tabId="8" name="PivotTable6"/>
    <pivotTable tabId="8" name="PivotTable7"/>
    <pivotTable tabId="8" name="PivotTable8"/>
    <pivotTable tabId="8" name="PivotTable9"/>
    <pivotTable tabId="8" name="PivotTable10"/>
    <pivotTable tabId="8" name="PivotTable11"/>
    <pivotTable tabId="8" name="PivotTable12"/>
    <pivotTable tabId="8" name="PivotTable13"/>
    <pivotTable tabId="8" name="PivotTable14"/>
    <pivotTable tabId="8" name="PivotTable15"/>
  </pivotTables>
  <data>
    <tabular pivotCacheId="491259295">
      <items count="100">
        <i x="61" s="1"/>
        <i x="40" s="1"/>
        <i x="20" s="1"/>
        <i x="93" s="1"/>
        <i x="63" s="1"/>
        <i x="41" s="1"/>
        <i x="8" s="1"/>
        <i x="0" s="1"/>
        <i x="33" s="1"/>
        <i x="9" s="1"/>
        <i x="14" s="1"/>
        <i x="31" s="1"/>
        <i x="21" s="1"/>
        <i x="87" s="1"/>
        <i x="69" s="1"/>
        <i x="62" s="1"/>
        <i x="18" s="1"/>
        <i x="49" s="1"/>
        <i x="81" s="1"/>
        <i x="5" s="1"/>
        <i x="58" s="1"/>
        <i x="83" s="1"/>
        <i x="66" s="1"/>
        <i x="85" s="1"/>
        <i x="12" s="1"/>
        <i x="84" s="1"/>
        <i x="78" s="1"/>
        <i x="22" s="1"/>
        <i x="97" s="1"/>
        <i x="6" s="1"/>
        <i x="94" s="1"/>
        <i x="50" s="1"/>
        <i x="51" s="1"/>
        <i x="72" s="1"/>
        <i x="10" s="1"/>
        <i x="55" s="1"/>
        <i x="95" s="1"/>
        <i x="73" s="1"/>
        <i x="48" s="1"/>
        <i x="11" s="1"/>
        <i x="74" s="1"/>
        <i x="82" s="1"/>
        <i x="2" s="1"/>
        <i x="26" s="1"/>
        <i x="80" s="1"/>
        <i x="47" s="1"/>
        <i x="35" s="1"/>
        <i x="65" s="1"/>
        <i x="91" s="1"/>
        <i x="92" s="1"/>
        <i x="38" s="1"/>
        <i x="24" s="1"/>
        <i x="88" s="1"/>
        <i x="54" s="1"/>
        <i x="96" s="1"/>
        <i x="29" s="1"/>
        <i x="4" s="1"/>
        <i x="16" s="1"/>
        <i x="56" s="1"/>
        <i x="99" s="1"/>
        <i x="15" s="1"/>
        <i x="53" s="1"/>
        <i x="75" s="1"/>
        <i x="30" s="1"/>
        <i x="28" s="1"/>
        <i x="25" s="1"/>
        <i x="13" s="1"/>
        <i x="44" s="1"/>
        <i x="23" s="1"/>
        <i x="52" s="1"/>
        <i x="3" s="1"/>
        <i x="89" s="1"/>
        <i x="43" s="1"/>
        <i x="71" s="1"/>
        <i x="90" s="1"/>
        <i x="76" s="1"/>
        <i x="7" s="1"/>
        <i x="60" s="1"/>
        <i x="17" s="1"/>
        <i x="79" s="1"/>
        <i x="19" s="1"/>
        <i x="37" s="1"/>
        <i x="36" s="1"/>
        <i x="70" s="1"/>
        <i x="42" s="1"/>
        <i x="67" s="1"/>
        <i x="98" s="1"/>
        <i x="34" s="1"/>
        <i x="39" s="1"/>
        <i x="32" s="1"/>
        <i x="64" s="1"/>
        <i x="57" s="1"/>
        <i x="86" s="1"/>
        <i x="77" s="1"/>
        <i x="59" s="1"/>
        <i x="1" s="1"/>
        <i x="27" s="1"/>
        <i x="46" s="1"/>
        <i x="45" s="1"/>
        <i x="6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6A9875BD-4643-4ECA-A57B-96E82D01BD44}" cache="Slicer_Region" caption="Region" style="SlicerStyleLight1 2 9" rowHeight="234950"/>
  <slicer name="Product.Product Code 3" xr10:uid="{3501D287-FC9C-48EB-924A-1202D9E6DAED}" cache="Slicer_Product.Product_Code" caption="Product.Product Code" style="SlicerStyleLight1 2 9" rowHeight="234950"/>
  <slicer name="Partner.Partner 3" xr10:uid="{5807EF96-E846-4556-A150-EDA52C3D5C16}" cache="Slicer_Partner.Partner" caption="Partner.Partner" style="SlicerStyleLight1 2 9"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2180A4-81DD-47F8-A5BA-829413B677F6}" name="Fact" displayName="Fact" ref="A1:AC487" tableType="queryTable" totalsRowShown="0">
  <autoFilter ref="A1:AC487" xr:uid="{602180A4-81DD-47F8-A5BA-829413B677F6}"/>
  <sortState xmlns:xlrd2="http://schemas.microsoft.com/office/spreadsheetml/2017/richdata2" ref="A2:AA487">
    <sortCondition ref="B1:B487"/>
  </sortState>
  <tableColumns count="29">
    <tableColumn id="18" xr3:uid="{E497D8F4-2B7F-4E2E-9358-9B1AA71C0B7E}" uniqueName="18" name="EstimatedCloseDate" queryTableFieldId="1" dataDxfId="20"/>
    <tableColumn id="2" xr3:uid="{3C6337FA-EBCB-4741-9AD1-46E4532C04B6}" uniqueName="2" name="Opportunity ID" queryTableFieldId="2"/>
    <tableColumn id="3" xr3:uid="{8DCC4694-8CA6-4A15-B001-E1F07C84F74D}" uniqueName="3" name="Sales Stage ID" queryTableFieldId="3"/>
    <tableColumn id="4" xr3:uid="{035D03E4-030C-44CE-98F5-009EF7A76B83}" uniqueName="4" name="Account ID" queryTableFieldId="4"/>
    <tableColumn id="5" xr3:uid="{57DE9FFC-37B6-4922-A10C-14B41429E048}" uniqueName="5" name="Partner ID" queryTableFieldId="5"/>
    <tableColumn id="6" xr3:uid="{5B7B0324-9A3B-4F4C-B735-DBA20A5215E4}" uniqueName="6" name="Product ID" queryTableFieldId="6"/>
    <tableColumn id="7" xr3:uid="{20AEBBD3-7646-40E8-88BD-A7FAA4A8562F}" uniqueName="7" name="ProductRevenue" queryTableFieldId="7"/>
    <tableColumn id="8" xr3:uid="{3EE7FEA0-FC15-495A-802D-9004BFAACC50}" uniqueName="8" name="FactoredProductRevenue" queryTableFieldId="8" dataDxfId="19" dataCellStyle="Currency"/>
    <tableColumn id="9" xr3:uid="{9C3EA16F-A781-41A2-ABD6-4ADB7F27E2CF}" uniqueName="9" name="Create Date" queryTableFieldId="9" dataDxfId="18"/>
    <tableColumn id="10" xr3:uid="{09C177A5-B32C-455B-9C22-0DEE78CCD8F0}" uniqueName="10" name="Opportunity Days" queryTableFieldId="10"/>
    <tableColumn id="11" xr3:uid="{563B2032-8208-45A8-9F05-5CAF1D325731}" uniqueName="11" name="Year" queryTableFieldId="11"/>
    <tableColumn id="12" xr3:uid="{644F3F16-1264-40A2-99EB-8B06F1F76A7D}" uniqueName="12" name="Month_Number" queryTableFieldId="12"/>
    <tableColumn id="13" xr3:uid="{94298FAA-87D4-4CC2-9FED-370309B521A7}" uniqueName="13" name="Month" queryTableFieldId="13" dataDxfId="17"/>
    <tableColumn id="14" xr3:uid="{3051C213-9729-46C1-A5A5-8878F068B910}" uniqueName="14" name="Region" queryTableFieldId="14" dataDxfId="16"/>
    <tableColumn id="19" xr3:uid="{9D91E93E-0368-4EA2-9A8C-0D62D29753DF}" uniqueName="19" name="Oppurtunity.Name" queryTableFieldId="18" dataDxfId="15"/>
    <tableColumn id="20" xr3:uid="{EE33FDCB-3812-44A6-A2E3-8C0D9D6A82E6}" uniqueName="20" name="Oppurtunity.Rank" queryTableFieldId="19"/>
    <tableColumn id="21" xr3:uid="{D3B85490-2B12-45FD-89BA-247F5453715C}" uniqueName="21" name="Oppurtunity.SizeID" queryTableFieldId="20"/>
    <tableColumn id="22" xr3:uid="{A28B3E5D-C133-45DA-8371-FF6E22D36878}" uniqueName="22" name="Oppurtunity.Opportunity Size" queryTableFieldId="21" dataDxfId="14"/>
    <tableColumn id="23" xr3:uid="{EEAC8C16-13A6-4F18-AF7E-AE0B9D9BB6A4}" uniqueName="23" name="Oppurtunity.Region" queryTableFieldId="22" dataDxfId="13"/>
    <tableColumn id="24" xr3:uid="{E98DEB70-8BB3-435F-BA2E-EB256AFC6871}" uniqueName="24" name="Product.Product Code" queryTableFieldId="23" dataDxfId="12"/>
    <tableColumn id="25" xr3:uid="{D8D72723-FD7A-41DA-A0A9-A9C10EB7F105}" uniqueName="25" name="Partner.Partner" queryTableFieldId="24" dataDxfId="11"/>
    <tableColumn id="26" xr3:uid="{9B76959E-227D-42A9-B91B-38EA71759454}" uniqueName="26" name="Partner.Partner Driven" queryTableFieldId="25" dataDxfId="10"/>
    <tableColumn id="27" xr3:uid="{E5AC668F-AE22-4ADE-9E0C-ECAC8DA2E636}" uniqueName="27" name="salestage.Probability" queryTableFieldId="26"/>
    <tableColumn id="28" xr3:uid="{F2B3909D-00C3-4F66-A2EA-6F44E2E3BD08}" uniqueName="28" name="salestage.Sales Stage" queryTableFieldId="27" dataDxfId="9"/>
    <tableColumn id="29" xr3:uid="{26BB528B-76B1-4F0B-89BD-F3F291C37BBB}" uniqueName="29" name="Account.Account" queryTableFieldId="28" dataDxfId="8"/>
    <tableColumn id="30" xr3:uid="{51A2277F-DC6F-422A-82FB-47D8A731FDEF}" uniqueName="30" name="Account.Region" queryTableFieldId="29" dataDxfId="7"/>
    <tableColumn id="31" xr3:uid="{46123274-4E6C-4C09-A1B2-462F36DF7D99}" uniqueName="31" name="Account.Segment" queryTableFieldId="30" dataDxfId="6"/>
    <tableColumn id="15" xr3:uid="{80F4B0ED-4159-4590-9BC9-DE6EC1B3D6E5}" uniqueName="15" name="PartnerDrivenOpportunitiesPercentage" queryTableFieldId="32" dataDxfId="5">
      <calculatedColumnFormula xml:space="preserve"> COUNTIF(Fact[[#This Row],[Partner.Partner Driven]], "Yes") / COUNTA(Fact[Opportunity ID])</calculatedColumnFormula>
    </tableColumn>
    <tableColumn id="1" xr3:uid="{200B9C2D-96BF-4B46-ADEA-B39D2EBDF613}" uniqueName="1" name="Conversion Rates between Sales Stages" queryTableFieldId="33" dataDxfId="4">
      <calculatedColumnFormula>IFERROR(INDEX(Fact[[#All],[Opportunity ID]],MATCH(X2,Fact[[#All],[salestage.Sales Stage]],0))/INDEX(Fact[[#All],[Opportunity ID]],MATCH(X1,Fact[[#All],[salestage.Sales Stage]],0)), "")</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6E22354-4019-4726-BFF2-F17A9E0F0FFD}" name="Table3" displayName="Table3" ref="A70:D74" totalsRowShown="0">
  <autoFilter ref="A70:D74" xr:uid="{E6E22354-4019-4726-BFF2-F17A9E0F0FFD}"/>
  <tableColumns count="4">
    <tableColumn id="1" xr3:uid="{10C96514-5DD1-4F80-9918-2548D0137E6F}" name="Region"/>
    <tableColumn id="2" xr3:uid="{4B1D2571-6127-4CFA-BFF3-9E9C314B11D6}" name="Sum of ProductRevenue"/>
    <tableColumn id="3" xr3:uid="{B7CD1485-4B99-4AED-BA11-100B646E0C8A}" name="Count of Opportunity ID"/>
    <tableColumn id="4" xr3:uid="{BEC3BADC-145C-4C32-A726-0C99EF191DED}" name="AverageOpportunityRevenue">
      <calculatedColumnFormula>B71/C71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CA4B21-9AEC-47C2-9198-60CA4933888B}" name="Table1" displayName="Table1" ref="G291:H296" totalsRowShown="0">
  <autoFilter ref="G291:H296" xr:uid="{F3CA4B21-9AEC-47C2-9198-60CA4933888B}"/>
  <tableColumns count="2">
    <tableColumn id="1" xr3:uid="{730B3201-8916-4DF4-8F19-F9DA6E56F9EA}" name="Sales stage"/>
    <tableColumn id="2" xr3:uid="{1E847629-4164-443E-B1C0-C4ED338724A4}" name="Conversion Rates between Sales Stages">
      <calculatedColumnFormula>IFERROR(INDEX($B$291:$B$296,MATCH(A292,$A$291:$A$296,0))/INDEX($B$291:$B$296,MATCH(A291,$A$291:$A$296,0)),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table" Target="../tables/table3.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table" Target="../tables/table2.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12E8A-9B1D-45FE-A544-D6E8D5E240EC}">
  <sheetPr codeName="Sheet1"/>
  <dimension ref="A1:AE487"/>
  <sheetViews>
    <sheetView workbookViewId="0">
      <selection activeCell="I30" sqref="I30"/>
    </sheetView>
  </sheetViews>
  <sheetFormatPr defaultRowHeight="14.4" x14ac:dyDescent="0.3"/>
  <cols>
    <col min="1" max="1" width="20.109375" bestFit="1" customWidth="1"/>
    <col min="2" max="2" width="15.88671875" bestFit="1" customWidth="1"/>
    <col min="3" max="3" width="14.77734375" bestFit="1" customWidth="1"/>
    <col min="4" max="4" width="12.44140625" bestFit="1" customWidth="1"/>
    <col min="5" max="5" width="11.6640625" bestFit="1" customWidth="1"/>
    <col min="6" max="6" width="12.109375" bestFit="1" customWidth="1"/>
    <col min="7" max="7" width="17.33203125" bestFit="1" customWidth="1"/>
    <col min="8" max="8" width="26" style="5" bestFit="1" customWidth="1"/>
    <col min="9" max="9" width="15.44140625" bestFit="1" customWidth="1"/>
    <col min="10" max="10" width="18.109375" bestFit="1" customWidth="1"/>
    <col min="11" max="11" width="6.88671875" bestFit="1" customWidth="1"/>
    <col min="12" max="12" width="17" bestFit="1" customWidth="1"/>
    <col min="13" max="14" width="9" bestFit="1" customWidth="1"/>
    <col min="15" max="15" width="19.21875" bestFit="1" customWidth="1"/>
    <col min="16" max="16" width="18.44140625" bestFit="1" customWidth="1"/>
    <col min="17" max="17" width="19.21875" bestFit="1" customWidth="1"/>
    <col min="18" max="18" width="28.5546875" bestFit="1" customWidth="1"/>
    <col min="19" max="19" width="20.109375" bestFit="1" customWidth="1"/>
    <col min="20" max="20" width="22.109375" bestFit="1" customWidth="1"/>
    <col min="21" max="21" width="16.33203125" bestFit="1" customWidth="1"/>
    <col min="22" max="22" width="22.33203125" bestFit="1" customWidth="1"/>
    <col min="23" max="23" width="20.77734375" bestFit="1" customWidth="1"/>
    <col min="24" max="24" width="21" bestFit="1" customWidth="1"/>
    <col min="25" max="25" width="17.88671875" bestFit="1" customWidth="1"/>
    <col min="26" max="26" width="16.6640625" bestFit="1" customWidth="1"/>
    <col min="27" max="27" width="18.33203125" bestFit="1" customWidth="1"/>
    <col min="28" max="28" width="36.5546875" bestFit="1" customWidth="1"/>
    <col min="29" max="29" width="36.6640625" bestFit="1" customWidth="1"/>
    <col min="30" max="30" width="13.6640625" bestFit="1" customWidth="1"/>
  </cols>
  <sheetData>
    <row r="1" spans="1:31" x14ac:dyDescent="0.3">
      <c r="A1" t="s">
        <v>56</v>
      </c>
      <c r="B1" t="s">
        <v>57</v>
      </c>
      <c r="C1" t="s">
        <v>58</v>
      </c>
      <c r="D1" t="s">
        <v>0</v>
      </c>
      <c r="E1" t="s">
        <v>59</v>
      </c>
      <c r="F1" t="s">
        <v>60</v>
      </c>
      <c r="G1" t="s">
        <v>61</v>
      </c>
      <c r="H1" s="5" t="s">
        <v>62</v>
      </c>
      <c r="I1" t="s">
        <v>63</v>
      </c>
      <c r="J1" t="s">
        <v>64</v>
      </c>
      <c r="K1" t="s">
        <v>65</v>
      </c>
      <c r="L1" t="s">
        <v>66</v>
      </c>
      <c r="M1" t="s">
        <v>67</v>
      </c>
      <c r="N1" t="s">
        <v>1</v>
      </c>
      <c r="O1" t="s">
        <v>1005</v>
      </c>
      <c r="P1" t="s">
        <v>1006</v>
      </c>
      <c r="Q1" t="s">
        <v>1007</v>
      </c>
      <c r="R1" t="s">
        <v>1008</v>
      </c>
      <c r="S1" t="s">
        <v>1009</v>
      </c>
      <c r="T1" t="s">
        <v>1010</v>
      </c>
      <c r="U1" t="s">
        <v>1011</v>
      </c>
      <c r="V1" t="s">
        <v>1012</v>
      </c>
      <c r="W1" t="s">
        <v>1013</v>
      </c>
      <c r="X1" t="s">
        <v>1014</v>
      </c>
      <c r="Y1" t="s">
        <v>1015</v>
      </c>
      <c r="Z1" t="s">
        <v>1016</v>
      </c>
      <c r="AA1" t="s">
        <v>1017</v>
      </c>
      <c r="AB1" t="s">
        <v>1029</v>
      </c>
      <c r="AC1" t="s">
        <v>1035</v>
      </c>
    </row>
    <row r="2" spans="1:31" x14ac:dyDescent="0.3">
      <c r="A2" s="1">
        <v>42153.457638888889</v>
      </c>
      <c r="B2">
        <v>1</v>
      </c>
      <c r="C2">
        <v>2</v>
      </c>
      <c r="D2">
        <v>1</v>
      </c>
      <c r="E2">
        <v>1</v>
      </c>
      <c r="F2">
        <v>22</v>
      </c>
      <c r="G2">
        <v>94627</v>
      </c>
      <c r="H2" s="5">
        <v>18925</v>
      </c>
      <c r="I2" s="1">
        <v>9</v>
      </c>
      <c r="J2">
        <v>474</v>
      </c>
      <c r="K2">
        <v>2015</v>
      </c>
      <c r="L2">
        <v>5</v>
      </c>
      <c r="M2" t="s">
        <v>68</v>
      </c>
      <c r="N2" t="s">
        <v>3</v>
      </c>
      <c r="O2" t="s">
        <v>137</v>
      </c>
      <c r="P2">
        <v>12</v>
      </c>
      <c r="Q2">
        <v>1</v>
      </c>
      <c r="R2" t="s">
        <v>138</v>
      </c>
      <c r="S2" t="s">
        <v>3</v>
      </c>
      <c r="T2" t="s">
        <v>191</v>
      </c>
      <c r="U2" t="s">
        <v>79</v>
      </c>
      <c r="V2" t="s">
        <v>72</v>
      </c>
      <c r="W2">
        <v>0.2</v>
      </c>
      <c r="X2" t="s">
        <v>196</v>
      </c>
      <c r="Y2" t="s">
        <v>2</v>
      </c>
      <c r="Z2" t="s">
        <v>3</v>
      </c>
      <c r="AA2" t="s">
        <v>4</v>
      </c>
      <c r="AB2">
        <f xml:space="preserve"> COUNTIF(Fact[[#This Row],[Partner.Partner Driven]], "Yes") / COUNTA(Fact[Opportunity ID])</f>
        <v>2.05761316872428E-3</v>
      </c>
      <c r="AC2" t="str">
        <f>IFERROR(INDEX(Fact[[#All],[Opportunity ID]],MATCH(X2,Fact[[#All],[salestage.Sales Stage]],0))/INDEX(Fact[[#All],[Opportunity ID]],MATCH(X1,Fact[[#All],[salestage.Sales Stage]],0)), "")</f>
        <v/>
      </c>
    </row>
    <row r="3" spans="1:31" x14ac:dyDescent="0.3">
      <c r="A3" s="1">
        <v>42216.333333333336</v>
      </c>
      <c r="B3">
        <v>2</v>
      </c>
      <c r="C3">
        <v>1</v>
      </c>
      <c r="D3">
        <v>2</v>
      </c>
      <c r="E3">
        <v>2</v>
      </c>
      <c r="F3">
        <v>19</v>
      </c>
      <c r="G3">
        <v>24700</v>
      </c>
      <c r="H3" s="5">
        <v>2470</v>
      </c>
      <c r="I3" s="1">
        <v>23</v>
      </c>
      <c r="J3">
        <v>495</v>
      </c>
      <c r="K3">
        <v>2015</v>
      </c>
      <c r="L3">
        <v>7</v>
      </c>
      <c r="M3" t="s">
        <v>69</v>
      </c>
      <c r="N3" t="s">
        <v>13</v>
      </c>
      <c r="O3" t="s">
        <v>630</v>
      </c>
      <c r="P3">
        <v>2</v>
      </c>
      <c r="Q3">
        <v>1</v>
      </c>
      <c r="R3" t="s">
        <v>138</v>
      </c>
      <c r="S3" t="s">
        <v>13</v>
      </c>
      <c r="T3" t="s">
        <v>188</v>
      </c>
      <c r="U3" t="s">
        <v>545</v>
      </c>
      <c r="V3" t="s">
        <v>72</v>
      </c>
      <c r="W3">
        <v>0.1</v>
      </c>
      <c r="X3" t="s">
        <v>195</v>
      </c>
      <c r="Y3" t="s">
        <v>5</v>
      </c>
      <c r="Z3" t="s">
        <v>3</v>
      </c>
      <c r="AA3" t="s">
        <v>6</v>
      </c>
      <c r="AB3">
        <f xml:space="preserve"> COUNTIF(Fact[[#This Row],[Partner.Partner Driven]], "Yes") / COUNTA(Fact[Opportunity ID])</f>
        <v>2.05761316872428E-3</v>
      </c>
      <c r="AC3">
        <f>IFERROR(INDEX(Fact[[#All],[Opportunity ID]],MATCH(X3,Fact[[#All],[salestage.Sales Stage]],0))/INDEX(Fact[[#All],[Opportunity ID]],MATCH(X2,Fact[[#All],[salestage.Sales Stage]],0)), "")</f>
        <v>2</v>
      </c>
    </row>
    <row r="4" spans="1:31" x14ac:dyDescent="0.3">
      <c r="A4" s="1">
        <v>42153.457638888889</v>
      </c>
      <c r="B4">
        <v>3</v>
      </c>
      <c r="C4">
        <v>1</v>
      </c>
      <c r="D4">
        <v>3</v>
      </c>
      <c r="E4">
        <v>3</v>
      </c>
      <c r="F4">
        <v>6</v>
      </c>
      <c r="G4">
        <v>217812</v>
      </c>
      <c r="H4" s="5">
        <v>21781</v>
      </c>
      <c r="I4" s="1">
        <v>5</v>
      </c>
      <c r="J4">
        <v>478</v>
      </c>
      <c r="K4">
        <v>2015</v>
      </c>
      <c r="L4">
        <v>5</v>
      </c>
      <c r="M4" t="s">
        <v>68</v>
      </c>
      <c r="N4" t="s">
        <v>13</v>
      </c>
      <c r="O4" t="s">
        <v>741</v>
      </c>
      <c r="P4">
        <v>24</v>
      </c>
      <c r="Q4">
        <v>1</v>
      </c>
      <c r="R4" t="s">
        <v>138</v>
      </c>
      <c r="S4" t="s">
        <v>13</v>
      </c>
      <c r="T4" t="s">
        <v>175</v>
      </c>
      <c r="U4" t="s">
        <v>115</v>
      </c>
      <c r="V4" t="s">
        <v>72</v>
      </c>
      <c r="W4">
        <v>0.1</v>
      </c>
      <c r="X4" t="s">
        <v>195</v>
      </c>
      <c r="Y4" t="s">
        <v>7</v>
      </c>
      <c r="Z4" t="s">
        <v>8</v>
      </c>
      <c r="AA4" t="s">
        <v>9</v>
      </c>
      <c r="AB4">
        <f xml:space="preserve"> COUNTIF(Fact[[#This Row],[Partner.Partner Driven]], "Yes") / COUNTA(Fact[Opportunity ID])</f>
        <v>2.05761316872428E-3</v>
      </c>
      <c r="AC4">
        <f>IFERROR(INDEX(Fact[[#All],[Opportunity ID]],MATCH(X4,Fact[[#All],[salestage.Sales Stage]],0))/INDEX(Fact[[#All],[Opportunity ID]],MATCH(X3,Fact[[#All],[salestage.Sales Stage]],0)), "")</f>
        <v>1</v>
      </c>
    </row>
    <row r="5" spans="1:31" x14ac:dyDescent="0.3">
      <c r="A5" s="1">
        <v>42216.333333333336</v>
      </c>
      <c r="B5">
        <v>4</v>
      </c>
      <c r="C5">
        <v>1</v>
      </c>
      <c r="D5">
        <v>4</v>
      </c>
      <c r="E5">
        <v>2</v>
      </c>
      <c r="F5">
        <v>18</v>
      </c>
      <c r="G5">
        <v>23725</v>
      </c>
      <c r="H5" s="5">
        <v>2373</v>
      </c>
      <c r="I5" s="1">
        <v>15</v>
      </c>
      <c r="J5">
        <v>562</v>
      </c>
      <c r="K5">
        <v>2015</v>
      </c>
      <c r="L5">
        <v>7</v>
      </c>
      <c r="M5" t="s">
        <v>69</v>
      </c>
      <c r="N5" t="s">
        <v>13</v>
      </c>
      <c r="O5" t="s">
        <v>852</v>
      </c>
      <c r="P5">
        <v>1</v>
      </c>
      <c r="Q5">
        <v>1</v>
      </c>
      <c r="R5" t="s">
        <v>138</v>
      </c>
      <c r="S5" t="s">
        <v>13</v>
      </c>
      <c r="T5" t="s">
        <v>187</v>
      </c>
      <c r="U5" t="s">
        <v>545</v>
      </c>
      <c r="V5" t="s">
        <v>72</v>
      </c>
      <c r="W5">
        <v>0.1</v>
      </c>
      <c r="X5" t="s">
        <v>195</v>
      </c>
      <c r="Y5" t="s">
        <v>10</v>
      </c>
      <c r="Z5" t="s">
        <v>8</v>
      </c>
      <c r="AA5" t="s">
        <v>6</v>
      </c>
      <c r="AB5">
        <f xml:space="preserve"> COUNTIF(Fact[[#This Row],[Partner.Partner Driven]], "Yes") / COUNTA(Fact[Opportunity ID])</f>
        <v>2.05761316872428E-3</v>
      </c>
      <c r="AC5">
        <f>IFERROR(INDEX(Fact[[#All],[Opportunity ID]],MATCH(X5,Fact[[#All],[salestage.Sales Stage]],0))/INDEX(Fact[[#All],[Opportunity ID]],MATCH(X4,Fact[[#All],[salestage.Sales Stage]],0)), "")</f>
        <v>1</v>
      </c>
    </row>
    <row r="6" spans="1:31" x14ac:dyDescent="0.3">
      <c r="A6" s="1">
        <v>42216.333333333336</v>
      </c>
      <c r="B6">
        <v>5</v>
      </c>
      <c r="C6">
        <v>1</v>
      </c>
      <c r="D6">
        <v>5</v>
      </c>
      <c r="E6">
        <v>4</v>
      </c>
      <c r="F6">
        <v>16</v>
      </c>
      <c r="G6">
        <v>66995</v>
      </c>
      <c r="H6" s="5">
        <v>6700</v>
      </c>
      <c r="I6" s="1">
        <v>10</v>
      </c>
      <c r="J6">
        <v>567</v>
      </c>
      <c r="K6">
        <v>2015</v>
      </c>
      <c r="L6">
        <v>7</v>
      </c>
      <c r="M6" t="s">
        <v>69</v>
      </c>
      <c r="N6" t="s">
        <v>8</v>
      </c>
      <c r="O6" t="s">
        <v>950</v>
      </c>
      <c r="P6">
        <v>7</v>
      </c>
      <c r="Q6">
        <v>1</v>
      </c>
      <c r="R6" t="s">
        <v>138</v>
      </c>
      <c r="S6" t="s">
        <v>8</v>
      </c>
      <c r="T6" t="s">
        <v>185</v>
      </c>
      <c r="U6" t="s">
        <v>520</v>
      </c>
      <c r="V6" t="s">
        <v>72</v>
      </c>
      <c r="W6">
        <v>0.1</v>
      </c>
      <c r="X6" t="s">
        <v>195</v>
      </c>
      <c r="Y6" t="s">
        <v>11</v>
      </c>
      <c r="Z6" t="s">
        <v>8</v>
      </c>
      <c r="AA6" t="s">
        <v>4</v>
      </c>
      <c r="AB6">
        <f xml:space="preserve"> COUNTIF(Fact[[#This Row],[Partner.Partner Driven]], "Yes") / COUNTA(Fact[Opportunity ID])</f>
        <v>2.05761316872428E-3</v>
      </c>
      <c r="AC6">
        <f>IFERROR(INDEX(Fact[[#All],[Opportunity ID]],MATCH(X6,Fact[[#All],[salestage.Sales Stage]],0))/INDEX(Fact[[#All],[Opportunity ID]],MATCH(X5,Fact[[#All],[salestage.Sales Stage]],0)), "")</f>
        <v>1</v>
      </c>
    </row>
    <row r="7" spans="1:31" x14ac:dyDescent="0.3">
      <c r="A7" s="1">
        <v>42216.333333333336</v>
      </c>
      <c r="B7">
        <v>6</v>
      </c>
      <c r="C7">
        <v>1</v>
      </c>
      <c r="D7">
        <v>6</v>
      </c>
      <c r="E7">
        <v>5</v>
      </c>
      <c r="F7">
        <v>19</v>
      </c>
      <c r="G7">
        <v>25932</v>
      </c>
      <c r="H7" s="5">
        <v>2593</v>
      </c>
      <c r="I7" s="1">
        <v>1</v>
      </c>
      <c r="J7">
        <v>456</v>
      </c>
      <c r="K7">
        <v>2015</v>
      </c>
      <c r="L7">
        <v>7</v>
      </c>
      <c r="M7" t="s">
        <v>69</v>
      </c>
      <c r="N7" t="s">
        <v>13</v>
      </c>
      <c r="O7" t="s">
        <v>961</v>
      </c>
      <c r="P7">
        <v>3</v>
      </c>
      <c r="Q7">
        <v>1</v>
      </c>
      <c r="R7" t="s">
        <v>138</v>
      </c>
      <c r="S7" t="s">
        <v>13</v>
      </c>
      <c r="T7" t="s">
        <v>188</v>
      </c>
      <c r="U7" t="s">
        <v>129</v>
      </c>
      <c r="V7" t="s">
        <v>72</v>
      </c>
      <c r="W7">
        <v>0.1</v>
      </c>
      <c r="X7" t="s">
        <v>195</v>
      </c>
      <c r="Y7" t="s">
        <v>12</v>
      </c>
      <c r="Z7" t="s">
        <v>13</v>
      </c>
      <c r="AA7" t="s">
        <v>4</v>
      </c>
      <c r="AB7">
        <f xml:space="preserve"> COUNTIF(Fact[[#This Row],[Partner.Partner Driven]], "Yes") / COUNTA(Fact[Opportunity ID])</f>
        <v>2.05761316872428E-3</v>
      </c>
      <c r="AC7">
        <f>IFERROR(INDEX(Fact[[#All],[Opportunity ID]],MATCH(X7,Fact[[#All],[salestage.Sales Stage]],0))/INDEX(Fact[[#All],[Opportunity ID]],MATCH(X6,Fact[[#All],[salestage.Sales Stage]],0)), "")</f>
        <v>1</v>
      </c>
    </row>
    <row r="8" spans="1:31" x14ac:dyDescent="0.3">
      <c r="A8" s="1">
        <v>42216.333333333336</v>
      </c>
      <c r="B8">
        <v>7</v>
      </c>
      <c r="C8">
        <v>1</v>
      </c>
      <c r="D8">
        <v>7</v>
      </c>
      <c r="E8">
        <v>2</v>
      </c>
      <c r="F8">
        <v>12</v>
      </c>
      <c r="G8">
        <v>23725</v>
      </c>
      <c r="H8" s="5">
        <v>2373</v>
      </c>
      <c r="I8" s="1">
        <v>22</v>
      </c>
      <c r="J8">
        <v>496</v>
      </c>
      <c r="K8">
        <v>2015</v>
      </c>
      <c r="L8">
        <v>7</v>
      </c>
      <c r="M8" t="s">
        <v>69</v>
      </c>
      <c r="N8" t="s">
        <v>13</v>
      </c>
      <c r="O8" t="s">
        <v>972</v>
      </c>
      <c r="P8">
        <v>1</v>
      </c>
      <c r="Q8">
        <v>1</v>
      </c>
      <c r="R8" t="s">
        <v>138</v>
      </c>
      <c r="S8" t="s">
        <v>13</v>
      </c>
      <c r="T8" t="s">
        <v>181</v>
      </c>
      <c r="U8" t="s">
        <v>545</v>
      </c>
      <c r="V8" t="s">
        <v>72</v>
      </c>
      <c r="W8">
        <v>0.1</v>
      </c>
      <c r="X8" t="s">
        <v>195</v>
      </c>
      <c r="Y8" t="s">
        <v>14</v>
      </c>
      <c r="Z8" t="s">
        <v>3</v>
      </c>
      <c r="AA8" t="s">
        <v>9</v>
      </c>
      <c r="AB8">
        <f xml:space="preserve"> COUNTIF(Fact[[#This Row],[Partner.Partner Driven]], "Yes") / COUNTA(Fact[Opportunity ID])</f>
        <v>2.05761316872428E-3</v>
      </c>
      <c r="AC8">
        <f>IFERROR(INDEX(Fact[[#All],[Opportunity ID]],MATCH(X8,Fact[[#All],[salestage.Sales Stage]],0))/INDEX(Fact[[#All],[Opportunity ID]],MATCH(X7,Fact[[#All],[salestage.Sales Stage]],0)), "")</f>
        <v>1</v>
      </c>
      <c r="AE8" s="7"/>
    </row>
    <row r="9" spans="1:31" x14ac:dyDescent="0.3">
      <c r="A9" s="1">
        <v>42156.457638888889</v>
      </c>
      <c r="B9">
        <v>8</v>
      </c>
      <c r="C9">
        <v>2</v>
      </c>
      <c r="D9">
        <v>8</v>
      </c>
      <c r="E9">
        <v>6</v>
      </c>
      <c r="F9">
        <v>5</v>
      </c>
      <c r="G9">
        <v>421960</v>
      </c>
      <c r="H9" s="5">
        <v>84392</v>
      </c>
      <c r="I9" s="1">
        <v>1</v>
      </c>
      <c r="J9">
        <v>396</v>
      </c>
      <c r="K9">
        <v>2015</v>
      </c>
      <c r="L9">
        <v>6</v>
      </c>
      <c r="M9" t="s">
        <v>70</v>
      </c>
      <c r="N9" t="s">
        <v>8</v>
      </c>
      <c r="O9" t="s">
        <v>983</v>
      </c>
      <c r="P9">
        <v>37</v>
      </c>
      <c r="Q9">
        <v>1</v>
      </c>
      <c r="R9" t="s">
        <v>138</v>
      </c>
      <c r="S9" t="s">
        <v>8</v>
      </c>
      <c r="T9" t="s">
        <v>174</v>
      </c>
      <c r="U9" t="s">
        <v>92</v>
      </c>
      <c r="V9" t="s">
        <v>72</v>
      </c>
      <c r="W9">
        <v>0.2</v>
      </c>
      <c r="X9" t="s">
        <v>196</v>
      </c>
      <c r="Y9" t="s">
        <v>15</v>
      </c>
      <c r="Z9" t="s">
        <v>3</v>
      </c>
      <c r="AA9" t="s">
        <v>9</v>
      </c>
      <c r="AB9">
        <f xml:space="preserve"> COUNTIF(Fact[[#This Row],[Partner.Partner Driven]], "Yes") / COUNTA(Fact[Opportunity ID])</f>
        <v>2.05761316872428E-3</v>
      </c>
      <c r="AC9">
        <f>IFERROR(INDEX(Fact[[#All],[Opportunity ID]],MATCH(X9,Fact[[#All],[salestage.Sales Stage]],0))/INDEX(Fact[[#All],[Opportunity ID]],MATCH(X8,Fact[[#All],[salestage.Sales Stage]],0)), "")</f>
        <v>0.5</v>
      </c>
    </row>
    <row r="10" spans="1:31" x14ac:dyDescent="0.3">
      <c r="A10" s="1">
        <v>42216.291666666664</v>
      </c>
      <c r="B10">
        <v>9</v>
      </c>
      <c r="C10">
        <v>3</v>
      </c>
      <c r="D10">
        <v>9</v>
      </c>
      <c r="E10">
        <v>7</v>
      </c>
      <c r="F10">
        <v>9</v>
      </c>
      <c r="G10">
        <v>2905585</v>
      </c>
      <c r="H10" s="5">
        <v>1162234</v>
      </c>
      <c r="I10" s="1">
        <v>5</v>
      </c>
      <c r="J10">
        <v>513</v>
      </c>
      <c r="K10">
        <v>2015</v>
      </c>
      <c r="L10">
        <v>7</v>
      </c>
      <c r="M10" t="s">
        <v>69</v>
      </c>
      <c r="N10" t="s">
        <v>13</v>
      </c>
      <c r="O10" t="s">
        <v>994</v>
      </c>
      <c r="P10">
        <v>184</v>
      </c>
      <c r="Q10">
        <v>2</v>
      </c>
      <c r="R10" t="s">
        <v>143</v>
      </c>
      <c r="S10" t="s">
        <v>13</v>
      </c>
      <c r="T10" t="s">
        <v>178</v>
      </c>
      <c r="U10" t="s">
        <v>102</v>
      </c>
      <c r="V10" t="s">
        <v>72</v>
      </c>
      <c r="W10">
        <v>0.4</v>
      </c>
      <c r="X10" t="s">
        <v>197</v>
      </c>
      <c r="Y10" t="s">
        <v>16</v>
      </c>
      <c r="Z10" t="s">
        <v>3</v>
      </c>
      <c r="AA10" t="s">
        <v>4</v>
      </c>
      <c r="AB10">
        <f xml:space="preserve"> COUNTIF(Fact[[#This Row],[Partner.Partner Driven]], "Yes") / COUNTA(Fact[Opportunity ID])</f>
        <v>2.05761316872428E-3</v>
      </c>
      <c r="AC10">
        <f>IFERROR(INDEX(Fact[[#All],[Opportunity ID]],MATCH(X10,Fact[[#All],[salestage.Sales Stage]],0))/INDEX(Fact[[#All],[Opportunity ID]],MATCH(X9,Fact[[#All],[salestage.Sales Stage]],0)), "")</f>
        <v>9</v>
      </c>
    </row>
    <row r="11" spans="1:31" x14ac:dyDescent="0.3">
      <c r="A11" s="1">
        <v>42308.457638888889</v>
      </c>
      <c r="B11">
        <v>10</v>
      </c>
      <c r="C11">
        <v>2</v>
      </c>
      <c r="D11">
        <v>10</v>
      </c>
      <c r="E11">
        <v>3</v>
      </c>
      <c r="F11">
        <v>24</v>
      </c>
      <c r="G11">
        <v>1243383</v>
      </c>
      <c r="H11" s="5">
        <v>248677</v>
      </c>
      <c r="I11" s="1">
        <v>15</v>
      </c>
      <c r="J11">
        <v>381</v>
      </c>
      <c r="K11">
        <v>2015</v>
      </c>
      <c r="L11">
        <v>10</v>
      </c>
      <c r="M11" t="s">
        <v>505</v>
      </c>
      <c r="N11" t="s">
        <v>3</v>
      </c>
      <c r="O11" t="s">
        <v>139</v>
      </c>
      <c r="P11">
        <v>84</v>
      </c>
      <c r="Q11">
        <v>1</v>
      </c>
      <c r="R11" t="s">
        <v>138</v>
      </c>
      <c r="S11" t="s">
        <v>3</v>
      </c>
      <c r="T11" t="s">
        <v>193</v>
      </c>
      <c r="U11" t="s">
        <v>115</v>
      </c>
      <c r="V11" t="s">
        <v>72</v>
      </c>
      <c r="W11">
        <v>0.2</v>
      </c>
      <c r="X11" t="s">
        <v>196</v>
      </c>
      <c r="Y11" t="s">
        <v>17</v>
      </c>
      <c r="Z11" t="s">
        <v>13</v>
      </c>
      <c r="AA11" t="s">
        <v>4</v>
      </c>
      <c r="AB11">
        <f xml:space="preserve"> COUNTIF(Fact[[#This Row],[Partner.Partner Driven]], "Yes") / COUNTA(Fact[Opportunity ID])</f>
        <v>2.05761316872428E-3</v>
      </c>
      <c r="AC11">
        <f>IFERROR(INDEX(Fact[[#All],[Opportunity ID]],MATCH(X11,Fact[[#All],[salestage.Sales Stage]],0))/INDEX(Fact[[#All],[Opportunity ID]],MATCH(X10,Fact[[#All],[salestage.Sales Stage]],0)), "")</f>
        <v>0.1111111111111111</v>
      </c>
    </row>
    <row r="12" spans="1:31" x14ac:dyDescent="0.3">
      <c r="A12" s="1">
        <v>42338.457638888889</v>
      </c>
      <c r="B12">
        <v>11</v>
      </c>
      <c r="C12">
        <v>1</v>
      </c>
      <c r="D12">
        <v>11</v>
      </c>
      <c r="E12">
        <v>8</v>
      </c>
      <c r="F12">
        <v>25</v>
      </c>
      <c r="G12">
        <v>1744860</v>
      </c>
      <c r="H12" s="5">
        <v>174486</v>
      </c>
      <c r="I12" s="1">
        <v>3</v>
      </c>
      <c r="J12">
        <v>696</v>
      </c>
      <c r="K12">
        <v>2015</v>
      </c>
      <c r="L12">
        <v>11</v>
      </c>
      <c r="M12" t="s">
        <v>506</v>
      </c>
      <c r="N12" t="s">
        <v>3</v>
      </c>
      <c r="O12" t="s">
        <v>151</v>
      </c>
      <c r="P12">
        <v>116</v>
      </c>
      <c r="Q12">
        <v>1</v>
      </c>
      <c r="R12" t="s">
        <v>138</v>
      </c>
      <c r="S12" t="s">
        <v>3</v>
      </c>
      <c r="T12" t="s">
        <v>194</v>
      </c>
      <c r="U12" t="s">
        <v>526</v>
      </c>
      <c r="V12" t="s">
        <v>72</v>
      </c>
      <c r="W12">
        <v>0.1</v>
      </c>
      <c r="X12" t="s">
        <v>195</v>
      </c>
      <c r="Y12" t="s">
        <v>18</v>
      </c>
      <c r="Z12" t="s">
        <v>13</v>
      </c>
      <c r="AA12" t="s">
        <v>4</v>
      </c>
      <c r="AB12">
        <f xml:space="preserve"> COUNTIF(Fact[[#This Row],[Partner.Partner Driven]], "Yes") / COUNTA(Fact[Opportunity ID])</f>
        <v>2.05761316872428E-3</v>
      </c>
      <c r="AC12">
        <f>IFERROR(INDEX(Fact[[#All],[Opportunity ID]],MATCH(X12,Fact[[#All],[salestage.Sales Stage]],0))/INDEX(Fact[[#All],[Opportunity ID]],MATCH(X11,Fact[[#All],[salestage.Sales Stage]],0)), "")</f>
        <v>2</v>
      </c>
    </row>
    <row r="13" spans="1:31" x14ac:dyDescent="0.3">
      <c r="A13" s="1">
        <v>42308.457638888889</v>
      </c>
      <c r="B13">
        <v>12</v>
      </c>
      <c r="C13">
        <v>1</v>
      </c>
      <c r="D13">
        <v>12</v>
      </c>
      <c r="E13">
        <v>8</v>
      </c>
      <c r="F13">
        <v>10</v>
      </c>
      <c r="G13">
        <v>3503207</v>
      </c>
      <c r="H13" s="5">
        <v>350321</v>
      </c>
      <c r="I13" s="1">
        <v>30</v>
      </c>
      <c r="J13">
        <v>427</v>
      </c>
      <c r="K13">
        <v>2015</v>
      </c>
      <c r="L13">
        <v>10</v>
      </c>
      <c r="M13" t="s">
        <v>505</v>
      </c>
      <c r="N13" t="s">
        <v>13</v>
      </c>
      <c r="O13" t="s">
        <v>162</v>
      </c>
      <c r="P13">
        <v>217</v>
      </c>
      <c r="Q13">
        <v>2</v>
      </c>
      <c r="R13" t="s">
        <v>143</v>
      </c>
      <c r="S13" t="s">
        <v>13</v>
      </c>
      <c r="T13" t="s">
        <v>179</v>
      </c>
      <c r="U13" t="s">
        <v>526</v>
      </c>
      <c r="V13" t="s">
        <v>72</v>
      </c>
      <c r="W13">
        <v>0.1</v>
      </c>
      <c r="X13" t="s">
        <v>195</v>
      </c>
      <c r="Y13" t="s">
        <v>19</v>
      </c>
      <c r="Z13" t="s">
        <v>8</v>
      </c>
      <c r="AA13" t="s">
        <v>4</v>
      </c>
      <c r="AB13">
        <f xml:space="preserve"> COUNTIF(Fact[[#This Row],[Partner.Partner Driven]], "Yes") / COUNTA(Fact[Opportunity ID])</f>
        <v>2.05761316872428E-3</v>
      </c>
      <c r="AC13">
        <f>IFERROR(INDEX(Fact[[#All],[Opportunity ID]],MATCH(X13,Fact[[#All],[salestage.Sales Stage]],0))/INDEX(Fact[[#All],[Opportunity ID]],MATCH(X12,Fact[[#All],[salestage.Sales Stage]],0)), "")</f>
        <v>1</v>
      </c>
    </row>
    <row r="14" spans="1:31" x14ac:dyDescent="0.3">
      <c r="A14" s="1">
        <v>42338.457638888889</v>
      </c>
      <c r="B14">
        <v>13</v>
      </c>
      <c r="C14">
        <v>1</v>
      </c>
      <c r="D14">
        <v>13</v>
      </c>
      <c r="E14">
        <v>9</v>
      </c>
      <c r="F14">
        <v>12</v>
      </c>
      <c r="G14">
        <v>9271823</v>
      </c>
      <c r="H14" s="5">
        <v>927182</v>
      </c>
      <c r="I14" s="1">
        <v>18</v>
      </c>
      <c r="J14">
        <v>561</v>
      </c>
      <c r="K14">
        <v>2015</v>
      </c>
      <c r="L14">
        <v>11</v>
      </c>
      <c r="M14" t="s">
        <v>506</v>
      </c>
      <c r="N14" t="s">
        <v>3</v>
      </c>
      <c r="O14" t="s">
        <v>553</v>
      </c>
      <c r="P14">
        <v>450</v>
      </c>
      <c r="Q14">
        <v>3</v>
      </c>
      <c r="R14" t="s">
        <v>9</v>
      </c>
      <c r="S14" t="s">
        <v>3</v>
      </c>
      <c r="T14" t="s">
        <v>181</v>
      </c>
      <c r="U14" t="s">
        <v>78</v>
      </c>
      <c r="V14" t="s">
        <v>72</v>
      </c>
      <c r="W14">
        <v>0.1</v>
      </c>
      <c r="X14" t="s">
        <v>195</v>
      </c>
      <c r="Y14" t="s">
        <v>20</v>
      </c>
      <c r="Z14" t="s">
        <v>3</v>
      </c>
      <c r="AA14" t="s">
        <v>9</v>
      </c>
      <c r="AB14">
        <f xml:space="preserve"> COUNTIF(Fact[[#This Row],[Partner.Partner Driven]], "Yes") / COUNTA(Fact[Opportunity ID])</f>
        <v>2.05761316872428E-3</v>
      </c>
      <c r="AC14">
        <f>IFERROR(INDEX(Fact[[#All],[Opportunity ID]],MATCH(X14,Fact[[#All],[salestage.Sales Stage]],0))/INDEX(Fact[[#All],[Opportunity ID]],MATCH(X13,Fact[[#All],[salestage.Sales Stage]],0)), "")</f>
        <v>1</v>
      </c>
    </row>
    <row r="15" spans="1:31" x14ac:dyDescent="0.3">
      <c r="A15" s="1">
        <v>42338.457638888889</v>
      </c>
      <c r="B15">
        <v>14</v>
      </c>
      <c r="C15">
        <v>1</v>
      </c>
      <c r="D15">
        <v>14</v>
      </c>
      <c r="E15">
        <v>10</v>
      </c>
      <c r="F15">
        <v>20</v>
      </c>
      <c r="G15">
        <v>3472976</v>
      </c>
      <c r="H15" s="5">
        <v>347298</v>
      </c>
      <c r="I15" s="1">
        <v>6</v>
      </c>
      <c r="J15">
        <v>512</v>
      </c>
      <c r="K15">
        <v>2015</v>
      </c>
      <c r="L15">
        <v>11</v>
      </c>
      <c r="M15" t="s">
        <v>506</v>
      </c>
      <c r="N15" t="s">
        <v>3</v>
      </c>
      <c r="O15" t="s">
        <v>564</v>
      </c>
      <c r="P15">
        <v>213</v>
      </c>
      <c r="Q15">
        <v>2</v>
      </c>
      <c r="R15" t="s">
        <v>143</v>
      </c>
      <c r="S15" t="s">
        <v>3</v>
      </c>
      <c r="T15" t="s">
        <v>189</v>
      </c>
      <c r="U15" t="s">
        <v>81</v>
      </c>
      <c r="V15" t="s">
        <v>72</v>
      </c>
      <c r="W15">
        <v>0.1</v>
      </c>
      <c r="X15" t="s">
        <v>195</v>
      </c>
      <c r="Y15" t="s">
        <v>21</v>
      </c>
      <c r="Z15" t="s">
        <v>13</v>
      </c>
      <c r="AA15" t="s">
        <v>4</v>
      </c>
      <c r="AB15">
        <f xml:space="preserve"> COUNTIF(Fact[[#This Row],[Partner.Partner Driven]], "Yes") / COUNTA(Fact[Opportunity ID])</f>
        <v>2.05761316872428E-3</v>
      </c>
      <c r="AC15">
        <f>IFERROR(INDEX(Fact[[#All],[Opportunity ID]],MATCH(X15,Fact[[#All],[salestage.Sales Stage]],0))/INDEX(Fact[[#All],[Opportunity ID]],MATCH(X14,Fact[[#All],[salestage.Sales Stage]],0)), "")</f>
        <v>1</v>
      </c>
    </row>
    <row r="16" spans="1:31" x14ac:dyDescent="0.3">
      <c r="A16" s="1">
        <v>42277.457638888889</v>
      </c>
      <c r="B16">
        <v>15</v>
      </c>
      <c r="C16">
        <v>1</v>
      </c>
      <c r="D16">
        <v>15</v>
      </c>
      <c r="E16">
        <v>11</v>
      </c>
      <c r="F16">
        <v>15</v>
      </c>
      <c r="G16">
        <v>6171111</v>
      </c>
      <c r="H16" s="5">
        <v>617111</v>
      </c>
      <c r="I16" s="1">
        <v>24</v>
      </c>
      <c r="J16">
        <v>583</v>
      </c>
      <c r="K16">
        <v>2015</v>
      </c>
      <c r="L16">
        <v>9</v>
      </c>
      <c r="M16" t="s">
        <v>507</v>
      </c>
      <c r="N16" t="s">
        <v>3</v>
      </c>
      <c r="O16" t="s">
        <v>575</v>
      </c>
      <c r="P16">
        <v>351</v>
      </c>
      <c r="Q16">
        <v>3</v>
      </c>
      <c r="R16" t="s">
        <v>9</v>
      </c>
      <c r="S16" t="s">
        <v>3</v>
      </c>
      <c r="T16" t="s">
        <v>184</v>
      </c>
      <c r="U16" t="s">
        <v>107</v>
      </c>
      <c r="V16" t="s">
        <v>72</v>
      </c>
      <c r="W16">
        <v>0.1</v>
      </c>
      <c r="X16" t="s">
        <v>195</v>
      </c>
      <c r="Y16" t="s">
        <v>22</v>
      </c>
      <c r="Z16" t="s">
        <v>13</v>
      </c>
      <c r="AA16" t="s">
        <v>6</v>
      </c>
      <c r="AB16">
        <f xml:space="preserve"> COUNTIF(Fact[[#This Row],[Partner.Partner Driven]], "Yes") / COUNTA(Fact[Opportunity ID])</f>
        <v>2.05761316872428E-3</v>
      </c>
      <c r="AC16">
        <f>IFERROR(INDEX(Fact[[#All],[Opportunity ID]],MATCH(X16,Fact[[#All],[salestage.Sales Stage]],0))/INDEX(Fact[[#All],[Opportunity ID]],MATCH(X15,Fact[[#All],[salestage.Sales Stage]],0)), "")</f>
        <v>1</v>
      </c>
    </row>
    <row r="17" spans="1:29" x14ac:dyDescent="0.3">
      <c r="A17" s="1">
        <v>42277.457638888889</v>
      </c>
      <c r="B17">
        <v>16</v>
      </c>
      <c r="C17">
        <v>1</v>
      </c>
      <c r="D17">
        <v>16</v>
      </c>
      <c r="E17">
        <v>12</v>
      </c>
      <c r="F17">
        <v>3</v>
      </c>
      <c r="G17">
        <v>6746912</v>
      </c>
      <c r="H17" s="5">
        <v>674691</v>
      </c>
      <c r="I17" s="1">
        <v>12</v>
      </c>
      <c r="J17">
        <v>567</v>
      </c>
      <c r="K17">
        <v>2015</v>
      </c>
      <c r="L17">
        <v>9</v>
      </c>
      <c r="M17" t="s">
        <v>507</v>
      </c>
      <c r="N17" t="s">
        <v>13</v>
      </c>
      <c r="O17" t="s">
        <v>586</v>
      </c>
      <c r="P17">
        <v>377</v>
      </c>
      <c r="Q17">
        <v>3</v>
      </c>
      <c r="R17" t="s">
        <v>9</v>
      </c>
      <c r="S17" t="s">
        <v>13</v>
      </c>
      <c r="T17" t="s">
        <v>172</v>
      </c>
      <c r="U17" t="s">
        <v>112</v>
      </c>
      <c r="V17" t="s">
        <v>72</v>
      </c>
      <c r="W17">
        <v>0.1</v>
      </c>
      <c r="X17" t="s">
        <v>195</v>
      </c>
      <c r="Y17" t="s">
        <v>23</v>
      </c>
      <c r="Z17" t="s">
        <v>13</v>
      </c>
      <c r="AA17" t="s">
        <v>9</v>
      </c>
      <c r="AB17">
        <f xml:space="preserve"> COUNTIF(Fact[[#This Row],[Partner.Partner Driven]], "Yes") / COUNTA(Fact[Opportunity ID])</f>
        <v>2.05761316872428E-3</v>
      </c>
      <c r="AC17">
        <f>IFERROR(INDEX(Fact[[#All],[Opportunity ID]],MATCH(X17,Fact[[#All],[salestage.Sales Stage]],0))/INDEX(Fact[[#All],[Opportunity ID]],MATCH(X16,Fact[[#All],[salestage.Sales Stage]],0)), "")</f>
        <v>1</v>
      </c>
    </row>
    <row r="18" spans="1:29" x14ac:dyDescent="0.3">
      <c r="A18" s="1">
        <v>42308.457638888889</v>
      </c>
      <c r="B18">
        <v>17</v>
      </c>
      <c r="C18">
        <v>1</v>
      </c>
      <c r="D18">
        <v>17</v>
      </c>
      <c r="E18">
        <v>8</v>
      </c>
      <c r="F18">
        <v>21</v>
      </c>
      <c r="G18">
        <v>6396351</v>
      </c>
      <c r="H18" s="5">
        <v>639635</v>
      </c>
      <c r="I18" s="1">
        <v>3</v>
      </c>
      <c r="J18">
        <v>393</v>
      </c>
      <c r="K18">
        <v>2015</v>
      </c>
      <c r="L18">
        <v>10</v>
      </c>
      <c r="M18" t="s">
        <v>505</v>
      </c>
      <c r="N18" t="s">
        <v>13</v>
      </c>
      <c r="O18" t="s">
        <v>597</v>
      </c>
      <c r="P18">
        <v>363</v>
      </c>
      <c r="Q18">
        <v>3</v>
      </c>
      <c r="R18" t="s">
        <v>9</v>
      </c>
      <c r="S18" t="s">
        <v>13</v>
      </c>
      <c r="T18" t="s">
        <v>190</v>
      </c>
      <c r="U18" t="s">
        <v>526</v>
      </c>
      <c r="V18" t="s">
        <v>72</v>
      </c>
      <c r="W18">
        <v>0.1</v>
      </c>
      <c r="X18" t="s">
        <v>195</v>
      </c>
      <c r="Y18" t="s">
        <v>24</v>
      </c>
      <c r="Z18" t="s">
        <v>13</v>
      </c>
      <c r="AA18" t="s">
        <v>4</v>
      </c>
      <c r="AB18">
        <f xml:space="preserve"> COUNTIF(Fact[[#This Row],[Partner.Partner Driven]], "Yes") / COUNTA(Fact[Opportunity ID])</f>
        <v>2.05761316872428E-3</v>
      </c>
      <c r="AC18">
        <f>IFERROR(INDEX(Fact[[#All],[Opportunity ID]],MATCH(X18,Fact[[#All],[salestage.Sales Stage]],0))/INDEX(Fact[[#All],[Opportunity ID]],MATCH(X17,Fact[[#All],[salestage.Sales Stage]],0)), "")</f>
        <v>1</v>
      </c>
    </row>
    <row r="19" spans="1:29" x14ac:dyDescent="0.3">
      <c r="A19" s="1">
        <v>42369.457638888889</v>
      </c>
      <c r="B19">
        <v>18</v>
      </c>
      <c r="C19">
        <v>1</v>
      </c>
      <c r="D19">
        <v>18</v>
      </c>
      <c r="E19">
        <v>5</v>
      </c>
      <c r="F19">
        <v>24</v>
      </c>
      <c r="G19">
        <v>963979</v>
      </c>
      <c r="H19" s="5">
        <v>96398</v>
      </c>
      <c r="I19" s="1">
        <v>15</v>
      </c>
      <c r="J19">
        <v>564</v>
      </c>
      <c r="K19">
        <v>2015</v>
      </c>
      <c r="L19">
        <v>12</v>
      </c>
      <c r="M19" t="s">
        <v>508</v>
      </c>
      <c r="N19" t="s">
        <v>8</v>
      </c>
      <c r="O19" t="s">
        <v>608</v>
      </c>
      <c r="P19">
        <v>70</v>
      </c>
      <c r="Q19">
        <v>1</v>
      </c>
      <c r="R19" t="s">
        <v>138</v>
      </c>
      <c r="S19" t="s">
        <v>8</v>
      </c>
      <c r="T19" t="s">
        <v>193</v>
      </c>
      <c r="U19" t="s">
        <v>129</v>
      </c>
      <c r="V19" t="s">
        <v>72</v>
      </c>
      <c r="W19">
        <v>0.1</v>
      </c>
      <c r="X19" t="s">
        <v>195</v>
      </c>
      <c r="Y19" t="s">
        <v>25</v>
      </c>
      <c r="Z19" t="s">
        <v>13</v>
      </c>
      <c r="AA19" t="s">
        <v>9</v>
      </c>
      <c r="AB19">
        <f xml:space="preserve"> COUNTIF(Fact[[#This Row],[Partner.Partner Driven]], "Yes") / COUNTA(Fact[Opportunity ID])</f>
        <v>2.05761316872428E-3</v>
      </c>
      <c r="AC19">
        <f>IFERROR(INDEX(Fact[[#All],[Opportunity ID]],MATCH(X19,Fact[[#All],[salestage.Sales Stage]],0))/INDEX(Fact[[#All],[Opportunity ID]],MATCH(X18,Fact[[#All],[salestage.Sales Stage]],0)), "")</f>
        <v>1</v>
      </c>
    </row>
    <row r="20" spans="1:29" x14ac:dyDescent="0.3">
      <c r="A20" s="1">
        <v>42277.457638888889</v>
      </c>
      <c r="B20">
        <v>19</v>
      </c>
      <c r="C20">
        <v>3</v>
      </c>
      <c r="D20">
        <v>19</v>
      </c>
      <c r="E20">
        <v>12</v>
      </c>
      <c r="F20">
        <v>7</v>
      </c>
      <c r="G20">
        <v>4946300</v>
      </c>
      <c r="H20" s="5">
        <v>1978520</v>
      </c>
      <c r="I20" s="1">
        <v>3</v>
      </c>
      <c r="J20">
        <v>484</v>
      </c>
      <c r="K20">
        <v>2015</v>
      </c>
      <c r="L20">
        <v>9</v>
      </c>
      <c r="M20" t="s">
        <v>507</v>
      </c>
      <c r="N20" t="s">
        <v>13</v>
      </c>
      <c r="O20" t="s">
        <v>619</v>
      </c>
      <c r="P20">
        <v>288</v>
      </c>
      <c r="Q20">
        <v>2</v>
      </c>
      <c r="R20" t="s">
        <v>143</v>
      </c>
      <c r="S20" t="s">
        <v>13</v>
      </c>
      <c r="T20" t="s">
        <v>176</v>
      </c>
      <c r="U20" t="s">
        <v>112</v>
      </c>
      <c r="V20" t="s">
        <v>72</v>
      </c>
      <c r="W20">
        <v>0.4</v>
      </c>
      <c r="X20" t="s">
        <v>197</v>
      </c>
      <c r="Y20" t="s">
        <v>26</v>
      </c>
      <c r="Z20" t="s">
        <v>3</v>
      </c>
      <c r="AA20" t="s">
        <v>9</v>
      </c>
      <c r="AB20">
        <f xml:space="preserve"> COUNTIF(Fact[[#This Row],[Partner.Partner Driven]], "Yes") / COUNTA(Fact[Opportunity ID])</f>
        <v>2.05761316872428E-3</v>
      </c>
      <c r="AC20">
        <f>IFERROR(INDEX(Fact[[#All],[Opportunity ID]],MATCH(X20,Fact[[#All],[salestage.Sales Stage]],0))/INDEX(Fact[[#All],[Opportunity ID]],MATCH(X19,Fact[[#All],[salestage.Sales Stage]],0)), "")</f>
        <v>4.5</v>
      </c>
    </row>
    <row r="21" spans="1:29" x14ac:dyDescent="0.3">
      <c r="A21" s="1">
        <v>42369.457638888889</v>
      </c>
      <c r="B21">
        <v>20</v>
      </c>
      <c r="C21">
        <v>1</v>
      </c>
      <c r="D21">
        <v>20</v>
      </c>
      <c r="E21">
        <v>13</v>
      </c>
      <c r="F21">
        <v>21</v>
      </c>
      <c r="G21">
        <v>1088347</v>
      </c>
      <c r="H21" s="5">
        <v>108835</v>
      </c>
      <c r="I21" s="1">
        <v>19</v>
      </c>
      <c r="J21">
        <v>377</v>
      </c>
      <c r="K21">
        <v>2015</v>
      </c>
      <c r="L21">
        <v>12</v>
      </c>
      <c r="M21" t="s">
        <v>508</v>
      </c>
      <c r="N21" t="s">
        <v>3</v>
      </c>
      <c r="O21" t="s">
        <v>631</v>
      </c>
      <c r="P21">
        <v>76</v>
      </c>
      <c r="Q21">
        <v>1</v>
      </c>
      <c r="R21" t="s">
        <v>138</v>
      </c>
      <c r="S21" t="s">
        <v>3</v>
      </c>
      <c r="T21" t="s">
        <v>190</v>
      </c>
      <c r="U21" t="s">
        <v>97</v>
      </c>
      <c r="V21" t="s">
        <v>72</v>
      </c>
      <c r="W21">
        <v>0.1</v>
      </c>
      <c r="X21" t="s">
        <v>195</v>
      </c>
      <c r="Y21" t="s">
        <v>27</v>
      </c>
      <c r="Z21" t="s">
        <v>3</v>
      </c>
      <c r="AA21" t="s">
        <v>6</v>
      </c>
      <c r="AB21">
        <f xml:space="preserve"> COUNTIF(Fact[[#This Row],[Partner.Partner Driven]], "Yes") / COUNTA(Fact[Opportunity ID])</f>
        <v>2.05761316872428E-3</v>
      </c>
      <c r="AC21">
        <f>IFERROR(INDEX(Fact[[#All],[Opportunity ID]],MATCH(X21,Fact[[#All],[salestage.Sales Stage]],0))/INDEX(Fact[[#All],[Opportunity ID]],MATCH(X20,Fact[[#All],[salestage.Sales Stage]],0)), "")</f>
        <v>0.22222222222222221</v>
      </c>
    </row>
    <row r="22" spans="1:29" x14ac:dyDescent="0.3">
      <c r="A22" s="1">
        <v>42216.333333333336</v>
      </c>
      <c r="B22">
        <v>21</v>
      </c>
      <c r="C22">
        <v>3</v>
      </c>
      <c r="D22">
        <v>21</v>
      </c>
      <c r="E22">
        <v>14</v>
      </c>
      <c r="F22">
        <v>11</v>
      </c>
      <c r="G22">
        <v>6312394</v>
      </c>
      <c r="H22" s="5">
        <v>2524958</v>
      </c>
      <c r="I22" s="1">
        <v>18</v>
      </c>
      <c r="J22">
        <v>378</v>
      </c>
      <c r="K22">
        <v>2015</v>
      </c>
      <c r="L22">
        <v>7</v>
      </c>
      <c r="M22" t="s">
        <v>69</v>
      </c>
      <c r="N22" t="s">
        <v>13</v>
      </c>
      <c r="O22" t="s">
        <v>642</v>
      </c>
      <c r="P22">
        <v>358</v>
      </c>
      <c r="Q22">
        <v>3</v>
      </c>
      <c r="R22" t="s">
        <v>9</v>
      </c>
      <c r="S22" t="s">
        <v>13</v>
      </c>
      <c r="T22" t="s">
        <v>180</v>
      </c>
      <c r="U22" t="s">
        <v>516</v>
      </c>
      <c r="V22" t="s">
        <v>72</v>
      </c>
      <c r="W22">
        <v>0.4</v>
      </c>
      <c r="X22" t="s">
        <v>197</v>
      </c>
      <c r="Y22" t="s">
        <v>28</v>
      </c>
      <c r="Z22" t="s">
        <v>13</v>
      </c>
      <c r="AA22" t="s">
        <v>6</v>
      </c>
      <c r="AB22">
        <f xml:space="preserve"> COUNTIF(Fact[[#This Row],[Partner.Partner Driven]], "Yes") / COUNTA(Fact[Opportunity ID])</f>
        <v>2.05761316872428E-3</v>
      </c>
      <c r="AC22">
        <f>IFERROR(INDEX(Fact[[#All],[Opportunity ID]],MATCH(X22,Fact[[#All],[salestage.Sales Stage]],0))/INDEX(Fact[[#All],[Opportunity ID]],MATCH(X21,Fact[[#All],[salestage.Sales Stage]],0)), "")</f>
        <v>4.5</v>
      </c>
    </row>
    <row r="23" spans="1:29" x14ac:dyDescent="0.3">
      <c r="A23" s="1">
        <v>42277.457638888889</v>
      </c>
      <c r="B23">
        <v>22</v>
      </c>
      <c r="C23">
        <v>2</v>
      </c>
      <c r="D23">
        <v>22</v>
      </c>
      <c r="E23">
        <v>15</v>
      </c>
      <c r="F23">
        <v>24</v>
      </c>
      <c r="G23">
        <v>3944956</v>
      </c>
      <c r="H23" s="5">
        <v>788991</v>
      </c>
      <c r="I23" s="1">
        <v>25</v>
      </c>
      <c r="J23">
        <v>523</v>
      </c>
      <c r="K23">
        <v>2015</v>
      </c>
      <c r="L23">
        <v>9</v>
      </c>
      <c r="M23" t="s">
        <v>507</v>
      </c>
      <c r="N23" t="s">
        <v>8</v>
      </c>
      <c r="O23" t="s">
        <v>653</v>
      </c>
      <c r="P23">
        <v>239</v>
      </c>
      <c r="Q23">
        <v>2</v>
      </c>
      <c r="R23" t="s">
        <v>143</v>
      </c>
      <c r="S23" t="s">
        <v>8</v>
      </c>
      <c r="T23" t="s">
        <v>193</v>
      </c>
      <c r="U23" t="s">
        <v>82</v>
      </c>
      <c r="V23" t="s">
        <v>72</v>
      </c>
      <c r="W23">
        <v>0.2</v>
      </c>
      <c r="X23" t="s">
        <v>196</v>
      </c>
      <c r="Y23" t="s">
        <v>29</v>
      </c>
      <c r="Z23" t="s">
        <v>13</v>
      </c>
      <c r="AA23" t="s">
        <v>4</v>
      </c>
      <c r="AB23">
        <f xml:space="preserve"> COUNTIF(Fact[[#This Row],[Partner.Partner Driven]], "Yes") / COUNTA(Fact[Opportunity ID])</f>
        <v>2.05761316872428E-3</v>
      </c>
      <c r="AC23">
        <f>IFERROR(INDEX(Fact[[#All],[Opportunity ID]],MATCH(X23,Fact[[#All],[salestage.Sales Stage]],0))/INDEX(Fact[[#All],[Opportunity ID]],MATCH(X22,Fact[[#All],[salestage.Sales Stage]],0)), "")</f>
        <v>0.1111111111111111</v>
      </c>
    </row>
    <row r="24" spans="1:29" x14ac:dyDescent="0.3">
      <c r="A24" s="1">
        <v>42277.457638888889</v>
      </c>
      <c r="B24">
        <v>23</v>
      </c>
      <c r="C24">
        <v>2</v>
      </c>
      <c r="D24">
        <v>23</v>
      </c>
      <c r="E24">
        <v>16</v>
      </c>
      <c r="F24">
        <v>10</v>
      </c>
      <c r="G24">
        <v>3563871</v>
      </c>
      <c r="H24" s="5">
        <v>712774</v>
      </c>
      <c r="I24" s="1">
        <v>26</v>
      </c>
      <c r="J24">
        <v>492</v>
      </c>
      <c r="K24">
        <v>2015</v>
      </c>
      <c r="L24">
        <v>9</v>
      </c>
      <c r="M24" t="s">
        <v>507</v>
      </c>
      <c r="N24" t="s">
        <v>8</v>
      </c>
      <c r="O24" t="s">
        <v>664</v>
      </c>
      <c r="P24">
        <v>219</v>
      </c>
      <c r="Q24">
        <v>2</v>
      </c>
      <c r="R24" t="s">
        <v>143</v>
      </c>
      <c r="S24" t="s">
        <v>8</v>
      </c>
      <c r="T24" t="s">
        <v>179</v>
      </c>
      <c r="U24" t="s">
        <v>133</v>
      </c>
      <c r="V24" t="s">
        <v>72</v>
      </c>
      <c r="W24">
        <v>0.2</v>
      </c>
      <c r="X24" t="s">
        <v>196</v>
      </c>
      <c r="Y24" t="s">
        <v>30</v>
      </c>
      <c r="Z24" t="s">
        <v>8</v>
      </c>
      <c r="AA24" t="s">
        <v>9</v>
      </c>
      <c r="AB24">
        <f xml:space="preserve"> COUNTIF(Fact[[#This Row],[Partner.Partner Driven]], "Yes") / COUNTA(Fact[Opportunity ID])</f>
        <v>2.05761316872428E-3</v>
      </c>
      <c r="AC24">
        <f>IFERROR(INDEX(Fact[[#All],[Opportunity ID]],MATCH(X24,Fact[[#All],[salestage.Sales Stage]],0))/INDEX(Fact[[#All],[Opportunity ID]],MATCH(X23,Fact[[#All],[salestage.Sales Stage]],0)), "")</f>
        <v>1</v>
      </c>
    </row>
    <row r="25" spans="1:29" x14ac:dyDescent="0.3">
      <c r="A25" s="1">
        <v>42216.333333333336</v>
      </c>
      <c r="B25">
        <v>24</v>
      </c>
      <c r="C25">
        <v>1</v>
      </c>
      <c r="D25">
        <v>24</v>
      </c>
      <c r="E25">
        <v>17</v>
      </c>
      <c r="F25">
        <v>19</v>
      </c>
      <c r="G25">
        <v>8880021</v>
      </c>
      <c r="H25" s="5">
        <v>888002</v>
      </c>
      <c r="I25" s="1">
        <v>27</v>
      </c>
      <c r="J25">
        <v>369</v>
      </c>
      <c r="K25">
        <v>2015</v>
      </c>
      <c r="L25">
        <v>7</v>
      </c>
      <c r="M25" t="s">
        <v>69</v>
      </c>
      <c r="N25" t="s">
        <v>13</v>
      </c>
      <c r="O25" t="s">
        <v>675</v>
      </c>
      <c r="P25">
        <v>437</v>
      </c>
      <c r="Q25">
        <v>3</v>
      </c>
      <c r="R25" t="s">
        <v>9</v>
      </c>
      <c r="S25" t="s">
        <v>13</v>
      </c>
      <c r="T25" t="s">
        <v>188</v>
      </c>
      <c r="U25" t="s">
        <v>130</v>
      </c>
      <c r="V25" t="s">
        <v>72</v>
      </c>
      <c r="W25">
        <v>0.1</v>
      </c>
      <c r="X25" t="s">
        <v>195</v>
      </c>
      <c r="Y25" t="s">
        <v>31</v>
      </c>
      <c r="Z25" t="s">
        <v>3</v>
      </c>
      <c r="AA25" t="s">
        <v>6</v>
      </c>
      <c r="AB25">
        <f xml:space="preserve"> COUNTIF(Fact[[#This Row],[Partner.Partner Driven]], "Yes") / COUNTA(Fact[Opportunity ID])</f>
        <v>2.05761316872428E-3</v>
      </c>
      <c r="AC25">
        <f>IFERROR(INDEX(Fact[[#All],[Opportunity ID]],MATCH(X25,Fact[[#All],[salestage.Sales Stage]],0))/INDEX(Fact[[#All],[Opportunity ID]],MATCH(X24,Fact[[#All],[salestage.Sales Stage]],0)), "")</f>
        <v>2</v>
      </c>
    </row>
    <row r="26" spans="1:29" x14ac:dyDescent="0.3">
      <c r="A26" s="1">
        <v>42277.457638888889</v>
      </c>
      <c r="B26">
        <v>25</v>
      </c>
      <c r="C26">
        <v>1</v>
      </c>
      <c r="D26">
        <v>25</v>
      </c>
      <c r="E26">
        <v>3</v>
      </c>
      <c r="F26">
        <v>2</v>
      </c>
      <c r="G26">
        <v>6628642</v>
      </c>
      <c r="H26" s="5">
        <v>662864</v>
      </c>
      <c r="I26" s="1">
        <v>28</v>
      </c>
      <c r="J26">
        <v>490</v>
      </c>
      <c r="K26">
        <v>2015</v>
      </c>
      <c r="L26">
        <v>9</v>
      </c>
      <c r="M26" t="s">
        <v>507</v>
      </c>
      <c r="N26" t="s">
        <v>13</v>
      </c>
      <c r="O26" t="s">
        <v>686</v>
      </c>
      <c r="P26">
        <v>371</v>
      </c>
      <c r="Q26">
        <v>3</v>
      </c>
      <c r="R26" t="s">
        <v>9</v>
      </c>
      <c r="S26" t="s">
        <v>13</v>
      </c>
      <c r="T26" t="s">
        <v>171</v>
      </c>
      <c r="U26" t="s">
        <v>115</v>
      </c>
      <c r="V26" t="s">
        <v>72</v>
      </c>
      <c r="W26">
        <v>0.1</v>
      </c>
      <c r="X26" t="s">
        <v>195</v>
      </c>
      <c r="Y26" t="s">
        <v>32</v>
      </c>
      <c r="Z26" t="s">
        <v>13</v>
      </c>
      <c r="AA26" t="s">
        <v>6</v>
      </c>
      <c r="AB26">
        <f xml:space="preserve"> COUNTIF(Fact[[#This Row],[Partner.Partner Driven]], "Yes") / COUNTA(Fact[Opportunity ID])</f>
        <v>2.05761316872428E-3</v>
      </c>
      <c r="AC26">
        <f>IFERROR(INDEX(Fact[[#All],[Opportunity ID]],MATCH(X26,Fact[[#All],[salestage.Sales Stage]],0))/INDEX(Fact[[#All],[Opportunity ID]],MATCH(X25,Fact[[#All],[salestage.Sales Stage]],0)), "")</f>
        <v>1</v>
      </c>
    </row>
    <row r="27" spans="1:29" x14ac:dyDescent="0.3">
      <c r="A27" s="1">
        <v>42277.457638888889</v>
      </c>
      <c r="B27">
        <v>26</v>
      </c>
      <c r="C27">
        <v>1</v>
      </c>
      <c r="D27">
        <v>26</v>
      </c>
      <c r="E27">
        <v>18</v>
      </c>
      <c r="F27">
        <v>8</v>
      </c>
      <c r="G27">
        <v>9777612</v>
      </c>
      <c r="H27" s="5">
        <v>977761</v>
      </c>
      <c r="I27" s="1">
        <v>4</v>
      </c>
      <c r="J27">
        <v>453</v>
      </c>
      <c r="K27">
        <v>2015</v>
      </c>
      <c r="L27">
        <v>9</v>
      </c>
      <c r="M27" t="s">
        <v>507</v>
      </c>
      <c r="N27" t="s">
        <v>3</v>
      </c>
      <c r="O27" t="s">
        <v>697</v>
      </c>
      <c r="P27">
        <v>460</v>
      </c>
      <c r="Q27">
        <v>3</v>
      </c>
      <c r="R27" t="s">
        <v>9</v>
      </c>
      <c r="S27" t="s">
        <v>3</v>
      </c>
      <c r="T27" t="s">
        <v>177</v>
      </c>
      <c r="U27" t="s">
        <v>528</v>
      </c>
      <c r="V27" t="s">
        <v>72</v>
      </c>
      <c r="W27">
        <v>0.1</v>
      </c>
      <c r="X27" t="s">
        <v>195</v>
      </c>
      <c r="Y27" t="s">
        <v>33</v>
      </c>
      <c r="Z27" t="s">
        <v>3</v>
      </c>
      <c r="AA27" t="s">
        <v>4</v>
      </c>
      <c r="AB27">
        <f xml:space="preserve"> COUNTIF(Fact[[#This Row],[Partner.Partner Driven]], "Yes") / COUNTA(Fact[Opportunity ID])</f>
        <v>2.05761316872428E-3</v>
      </c>
      <c r="AC27">
        <f>IFERROR(INDEX(Fact[[#All],[Opportunity ID]],MATCH(X27,Fact[[#All],[salestage.Sales Stage]],0))/INDEX(Fact[[#All],[Opportunity ID]],MATCH(X26,Fact[[#All],[salestage.Sales Stage]],0)), "")</f>
        <v>1</v>
      </c>
    </row>
    <row r="28" spans="1:29" x14ac:dyDescent="0.3">
      <c r="A28" s="1">
        <v>42053.457638888889</v>
      </c>
      <c r="B28">
        <v>27</v>
      </c>
      <c r="C28">
        <v>3</v>
      </c>
      <c r="D28">
        <v>27</v>
      </c>
      <c r="E28">
        <v>19</v>
      </c>
      <c r="F28">
        <v>5</v>
      </c>
      <c r="G28">
        <v>5948001</v>
      </c>
      <c r="H28" s="5">
        <v>2379200</v>
      </c>
      <c r="I28" s="1">
        <v>3</v>
      </c>
      <c r="J28">
        <v>411</v>
      </c>
      <c r="K28">
        <v>2015</v>
      </c>
      <c r="L28">
        <v>2</v>
      </c>
      <c r="M28" t="s">
        <v>509</v>
      </c>
      <c r="N28" t="s">
        <v>13</v>
      </c>
      <c r="O28" t="s">
        <v>708</v>
      </c>
      <c r="P28">
        <v>338</v>
      </c>
      <c r="Q28">
        <v>3</v>
      </c>
      <c r="R28" t="s">
        <v>9</v>
      </c>
      <c r="S28" t="s">
        <v>13</v>
      </c>
      <c r="T28" t="s">
        <v>174</v>
      </c>
      <c r="U28" t="s">
        <v>89</v>
      </c>
      <c r="V28" t="s">
        <v>72</v>
      </c>
      <c r="W28">
        <v>0.4</v>
      </c>
      <c r="X28" t="s">
        <v>197</v>
      </c>
      <c r="Y28" t="s">
        <v>34</v>
      </c>
      <c r="Z28" t="s">
        <v>8</v>
      </c>
      <c r="AA28" t="s">
        <v>9</v>
      </c>
      <c r="AB28">
        <f xml:space="preserve"> COUNTIF(Fact[[#This Row],[Partner.Partner Driven]], "Yes") / COUNTA(Fact[Opportunity ID])</f>
        <v>2.05761316872428E-3</v>
      </c>
      <c r="AC28">
        <f>IFERROR(INDEX(Fact[[#All],[Opportunity ID]],MATCH(X28,Fact[[#All],[salestage.Sales Stage]],0))/INDEX(Fact[[#All],[Opportunity ID]],MATCH(X27,Fact[[#All],[salestage.Sales Stage]],0)), "")</f>
        <v>4.5</v>
      </c>
    </row>
    <row r="29" spans="1:29" x14ac:dyDescent="0.3">
      <c r="A29" s="1">
        <v>42061.457638888889</v>
      </c>
      <c r="B29">
        <v>28</v>
      </c>
      <c r="C29">
        <v>4</v>
      </c>
      <c r="D29">
        <v>28</v>
      </c>
      <c r="E29">
        <v>8</v>
      </c>
      <c r="F29">
        <v>22</v>
      </c>
      <c r="G29">
        <v>5636292</v>
      </c>
      <c r="H29" s="5">
        <v>3381775</v>
      </c>
      <c r="I29" s="1">
        <v>3</v>
      </c>
      <c r="J29">
        <v>419</v>
      </c>
      <c r="K29">
        <v>2015</v>
      </c>
      <c r="L29">
        <v>2</v>
      </c>
      <c r="M29" t="s">
        <v>509</v>
      </c>
      <c r="N29" t="s">
        <v>3</v>
      </c>
      <c r="O29" t="s">
        <v>719</v>
      </c>
      <c r="P29">
        <v>324</v>
      </c>
      <c r="Q29">
        <v>3</v>
      </c>
      <c r="R29" t="s">
        <v>9</v>
      </c>
      <c r="S29" t="s">
        <v>3</v>
      </c>
      <c r="T29" t="s">
        <v>191</v>
      </c>
      <c r="U29" t="s">
        <v>526</v>
      </c>
      <c r="V29" t="s">
        <v>72</v>
      </c>
      <c r="W29">
        <v>0.6</v>
      </c>
      <c r="X29" t="s">
        <v>198</v>
      </c>
      <c r="Y29" t="s">
        <v>35</v>
      </c>
      <c r="Z29" t="s">
        <v>13</v>
      </c>
      <c r="AA29" t="s">
        <v>9</v>
      </c>
      <c r="AB29">
        <f xml:space="preserve"> COUNTIF(Fact[[#This Row],[Partner.Partner Driven]], "Yes") / COUNTA(Fact[Opportunity ID])</f>
        <v>2.05761316872428E-3</v>
      </c>
      <c r="AC29">
        <f>IFERROR(INDEX(Fact[[#All],[Opportunity ID]],MATCH(X29,Fact[[#All],[salestage.Sales Stage]],0))/INDEX(Fact[[#All],[Opportunity ID]],MATCH(X28,Fact[[#All],[salestage.Sales Stage]],0)), "")</f>
        <v>3.1111111111111112</v>
      </c>
    </row>
    <row r="30" spans="1:29" x14ac:dyDescent="0.3">
      <c r="A30" s="1">
        <v>42216.333333333336</v>
      </c>
      <c r="B30">
        <v>29</v>
      </c>
      <c r="C30">
        <v>1</v>
      </c>
      <c r="D30">
        <v>29</v>
      </c>
      <c r="E30">
        <v>20</v>
      </c>
      <c r="F30">
        <v>23</v>
      </c>
      <c r="G30">
        <v>5145971</v>
      </c>
      <c r="H30" s="5">
        <v>514597</v>
      </c>
      <c r="I30" s="1">
        <v>13</v>
      </c>
      <c r="J30">
        <v>444</v>
      </c>
      <c r="K30">
        <v>2015</v>
      </c>
      <c r="L30">
        <v>7</v>
      </c>
      <c r="M30" t="s">
        <v>69</v>
      </c>
      <c r="N30" t="s">
        <v>13</v>
      </c>
      <c r="O30" t="s">
        <v>730</v>
      </c>
      <c r="P30">
        <v>303</v>
      </c>
      <c r="Q30">
        <v>2</v>
      </c>
      <c r="R30" t="s">
        <v>143</v>
      </c>
      <c r="S30" t="s">
        <v>13</v>
      </c>
      <c r="T30" t="s">
        <v>192</v>
      </c>
      <c r="U30" t="s">
        <v>530</v>
      </c>
      <c r="V30" t="s">
        <v>72</v>
      </c>
      <c r="W30">
        <v>0.1</v>
      </c>
      <c r="X30" t="s">
        <v>195</v>
      </c>
      <c r="Y30" t="s">
        <v>36</v>
      </c>
      <c r="Z30" t="s">
        <v>3</v>
      </c>
      <c r="AA30" t="s">
        <v>4</v>
      </c>
      <c r="AB30">
        <f xml:space="preserve"> COUNTIF(Fact[[#This Row],[Partner.Partner Driven]], "Yes") / COUNTA(Fact[Opportunity ID])</f>
        <v>2.05761316872428E-3</v>
      </c>
      <c r="AC30">
        <f>IFERROR(INDEX(Fact[[#All],[Opportunity ID]],MATCH(X30,Fact[[#All],[salestage.Sales Stage]],0))/INDEX(Fact[[#All],[Opportunity ID]],MATCH(X29,Fact[[#All],[salestage.Sales Stage]],0)), "")</f>
        <v>7.1428571428571425E-2</v>
      </c>
    </row>
    <row r="31" spans="1:29" x14ac:dyDescent="0.3">
      <c r="A31" s="1">
        <v>42124.457638888889</v>
      </c>
      <c r="B31">
        <v>30</v>
      </c>
      <c r="C31">
        <v>2</v>
      </c>
      <c r="D31">
        <v>30</v>
      </c>
      <c r="E31">
        <v>8</v>
      </c>
      <c r="F31">
        <v>23</v>
      </c>
      <c r="G31">
        <v>6022661</v>
      </c>
      <c r="H31" s="5">
        <v>1204532</v>
      </c>
      <c r="I31" s="1">
        <v>11</v>
      </c>
      <c r="J31">
        <v>474</v>
      </c>
      <c r="K31">
        <v>2015</v>
      </c>
      <c r="L31">
        <v>4</v>
      </c>
      <c r="M31" t="s">
        <v>510</v>
      </c>
      <c r="N31" t="s">
        <v>8</v>
      </c>
      <c r="O31" t="s">
        <v>742</v>
      </c>
      <c r="P31">
        <v>344</v>
      </c>
      <c r="Q31">
        <v>3</v>
      </c>
      <c r="R31" t="s">
        <v>9</v>
      </c>
      <c r="S31" t="s">
        <v>8</v>
      </c>
      <c r="T31" t="s">
        <v>192</v>
      </c>
      <c r="U31" t="s">
        <v>526</v>
      </c>
      <c r="V31" t="s">
        <v>72</v>
      </c>
      <c r="W31">
        <v>0.2</v>
      </c>
      <c r="X31" t="s">
        <v>196</v>
      </c>
      <c r="Y31" t="s">
        <v>37</v>
      </c>
      <c r="Z31" t="s">
        <v>3</v>
      </c>
      <c r="AA31" t="s">
        <v>9</v>
      </c>
      <c r="AB31">
        <f xml:space="preserve"> COUNTIF(Fact[[#This Row],[Partner.Partner Driven]], "Yes") / COUNTA(Fact[Opportunity ID])</f>
        <v>2.05761316872428E-3</v>
      </c>
      <c r="AC31">
        <f>IFERROR(INDEX(Fact[[#All],[Opportunity ID]],MATCH(X31,Fact[[#All],[salestage.Sales Stage]],0))/INDEX(Fact[[#All],[Opportunity ID]],MATCH(X30,Fact[[#All],[salestage.Sales Stage]],0)), "")</f>
        <v>0.5</v>
      </c>
    </row>
    <row r="32" spans="1:29" x14ac:dyDescent="0.3">
      <c r="A32" s="1">
        <v>42277.457638888889</v>
      </c>
      <c r="B32">
        <v>31</v>
      </c>
      <c r="C32">
        <v>1</v>
      </c>
      <c r="D32">
        <v>31</v>
      </c>
      <c r="E32">
        <v>13</v>
      </c>
      <c r="F32">
        <v>15</v>
      </c>
      <c r="G32">
        <v>6306225</v>
      </c>
      <c r="H32" s="5">
        <v>630623</v>
      </c>
      <c r="I32" s="1">
        <v>28</v>
      </c>
      <c r="J32">
        <v>490</v>
      </c>
      <c r="K32">
        <v>2015</v>
      </c>
      <c r="L32">
        <v>9</v>
      </c>
      <c r="M32" t="s">
        <v>507</v>
      </c>
      <c r="N32" t="s">
        <v>8</v>
      </c>
      <c r="O32" t="s">
        <v>753</v>
      </c>
      <c r="P32">
        <v>357</v>
      </c>
      <c r="Q32">
        <v>3</v>
      </c>
      <c r="R32" t="s">
        <v>9</v>
      </c>
      <c r="S32" t="s">
        <v>8</v>
      </c>
      <c r="T32" t="s">
        <v>184</v>
      </c>
      <c r="U32" t="s">
        <v>97</v>
      </c>
      <c r="V32" t="s">
        <v>72</v>
      </c>
      <c r="W32">
        <v>0.1</v>
      </c>
      <c r="X32" t="s">
        <v>195</v>
      </c>
      <c r="Y32" t="s">
        <v>38</v>
      </c>
      <c r="Z32" t="s">
        <v>13</v>
      </c>
      <c r="AA32" t="s">
        <v>4</v>
      </c>
      <c r="AB32">
        <f xml:space="preserve"> COUNTIF(Fact[[#This Row],[Partner.Partner Driven]], "Yes") / COUNTA(Fact[Opportunity ID])</f>
        <v>2.05761316872428E-3</v>
      </c>
      <c r="AC32">
        <f>IFERROR(INDEX(Fact[[#All],[Opportunity ID]],MATCH(X32,Fact[[#All],[salestage.Sales Stage]],0))/INDEX(Fact[[#All],[Opportunity ID]],MATCH(X31,Fact[[#All],[salestage.Sales Stage]],0)), "")</f>
        <v>2</v>
      </c>
    </row>
    <row r="33" spans="1:29" x14ac:dyDescent="0.3">
      <c r="A33" s="1">
        <v>42369.457638888889</v>
      </c>
      <c r="B33">
        <v>32</v>
      </c>
      <c r="C33">
        <v>1</v>
      </c>
      <c r="D33">
        <v>32</v>
      </c>
      <c r="E33">
        <v>13</v>
      </c>
      <c r="F33">
        <v>21</v>
      </c>
      <c r="G33">
        <v>3216251</v>
      </c>
      <c r="H33" s="5">
        <v>321625</v>
      </c>
      <c r="I33" s="1">
        <v>17</v>
      </c>
      <c r="J33">
        <v>409</v>
      </c>
      <c r="K33">
        <v>2015</v>
      </c>
      <c r="L33">
        <v>12</v>
      </c>
      <c r="M33" t="s">
        <v>508</v>
      </c>
      <c r="N33" t="s">
        <v>13</v>
      </c>
      <c r="O33" t="s">
        <v>764</v>
      </c>
      <c r="P33">
        <v>198</v>
      </c>
      <c r="Q33">
        <v>2</v>
      </c>
      <c r="R33" t="s">
        <v>143</v>
      </c>
      <c r="S33" t="s">
        <v>13</v>
      </c>
      <c r="T33" t="s">
        <v>190</v>
      </c>
      <c r="U33" t="s">
        <v>97</v>
      </c>
      <c r="V33" t="s">
        <v>72</v>
      </c>
      <c r="W33">
        <v>0.1</v>
      </c>
      <c r="X33" t="s">
        <v>195</v>
      </c>
      <c r="Y33" t="s">
        <v>39</v>
      </c>
      <c r="Z33" t="s">
        <v>13</v>
      </c>
      <c r="AA33" t="s">
        <v>9</v>
      </c>
      <c r="AB33">
        <f xml:space="preserve"> COUNTIF(Fact[[#This Row],[Partner.Partner Driven]], "Yes") / COUNTA(Fact[Opportunity ID])</f>
        <v>2.05761316872428E-3</v>
      </c>
      <c r="AC33">
        <f>IFERROR(INDEX(Fact[[#All],[Opportunity ID]],MATCH(X33,Fact[[#All],[salestage.Sales Stage]],0))/INDEX(Fact[[#All],[Opportunity ID]],MATCH(X32,Fact[[#All],[salestage.Sales Stage]],0)), "")</f>
        <v>1</v>
      </c>
    </row>
    <row r="34" spans="1:29" x14ac:dyDescent="0.3">
      <c r="A34" s="1">
        <v>42369.457638888889</v>
      </c>
      <c r="B34">
        <v>33</v>
      </c>
      <c r="C34">
        <v>1</v>
      </c>
      <c r="D34">
        <v>33</v>
      </c>
      <c r="E34">
        <v>21</v>
      </c>
      <c r="F34">
        <v>25</v>
      </c>
      <c r="G34">
        <v>1571606</v>
      </c>
      <c r="H34" s="5">
        <v>157161</v>
      </c>
      <c r="I34" s="1">
        <v>13</v>
      </c>
      <c r="J34">
        <v>444</v>
      </c>
      <c r="K34">
        <v>2015</v>
      </c>
      <c r="L34">
        <v>12</v>
      </c>
      <c r="M34" t="s">
        <v>508</v>
      </c>
      <c r="N34" t="s">
        <v>8</v>
      </c>
      <c r="O34" t="s">
        <v>775</v>
      </c>
      <c r="P34">
        <v>106</v>
      </c>
      <c r="Q34">
        <v>1</v>
      </c>
      <c r="R34" t="s">
        <v>138</v>
      </c>
      <c r="S34" t="s">
        <v>8</v>
      </c>
      <c r="T34" t="s">
        <v>194</v>
      </c>
      <c r="U34" t="s">
        <v>74</v>
      </c>
      <c r="V34" t="s">
        <v>72</v>
      </c>
      <c r="W34">
        <v>0.1</v>
      </c>
      <c r="X34" t="s">
        <v>195</v>
      </c>
      <c r="Y34" t="s">
        <v>40</v>
      </c>
      <c r="Z34" t="s">
        <v>13</v>
      </c>
      <c r="AA34" t="s">
        <v>4</v>
      </c>
      <c r="AB34">
        <f xml:space="preserve"> COUNTIF(Fact[[#This Row],[Partner.Partner Driven]], "Yes") / COUNTA(Fact[Opportunity ID])</f>
        <v>2.05761316872428E-3</v>
      </c>
      <c r="AC34">
        <f>IFERROR(INDEX(Fact[[#All],[Opportunity ID]],MATCH(X34,Fact[[#All],[salestage.Sales Stage]],0))/INDEX(Fact[[#All],[Opportunity ID]],MATCH(X33,Fact[[#All],[salestage.Sales Stage]],0)), "")</f>
        <v>1</v>
      </c>
    </row>
    <row r="35" spans="1:29" x14ac:dyDescent="0.3">
      <c r="A35" s="1">
        <v>42132.457638888889</v>
      </c>
      <c r="B35">
        <v>34</v>
      </c>
      <c r="C35">
        <v>1</v>
      </c>
      <c r="D35">
        <v>34</v>
      </c>
      <c r="E35">
        <v>22</v>
      </c>
      <c r="F35">
        <v>22</v>
      </c>
      <c r="G35">
        <v>1671903</v>
      </c>
      <c r="H35" s="5">
        <v>167190</v>
      </c>
      <c r="I35" s="1">
        <v>1</v>
      </c>
      <c r="J35">
        <v>461</v>
      </c>
      <c r="K35">
        <v>2015</v>
      </c>
      <c r="L35">
        <v>5</v>
      </c>
      <c r="M35" t="s">
        <v>68</v>
      </c>
      <c r="N35" t="s">
        <v>8</v>
      </c>
      <c r="O35" t="s">
        <v>786</v>
      </c>
      <c r="P35">
        <v>112</v>
      </c>
      <c r="Q35">
        <v>1</v>
      </c>
      <c r="R35" t="s">
        <v>138</v>
      </c>
      <c r="S35" t="s">
        <v>8</v>
      </c>
      <c r="T35" t="s">
        <v>191</v>
      </c>
      <c r="U35" t="s">
        <v>84</v>
      </c>
      <c r="V35" t="s">
        <v>85</v>
      </c>
      <c r="W35">
        <v>0.1</v>
      </c>
      <c r="X35" t="s">
        <v>195</v>
      </c>
      <c r="Y35" t="s">
        <v>41</v>
      </c>
      <c r="Z35" t="s">
        <v>8</v>
      </c>
      <c r="AA35" t="s">
        <v>6</v>
      </c>
      <c r="AB35">
        <f xml:space="preserve"> COUNTIF(Fact[[#This Row],[Partner.Partner Driven]], "Yes") / COUNTA(Fact[Opportunity ID])</f>
        <v>0</v>
      </c>
      <c r="AC35">
        <f>IFERROR(INDEX(Fact[[#All],[Opportunity ID]],MATCH(X35,Fact[[#All],[salestage.Sales Stage]],0))/INDEX(Fact[[#All],[Opportunity ID]],MATCH(X34,Fact[[#All],[salestage.Sales Stage]],0)), "")</f>
        <v>1</v>
      </c>
    </row>
    <row r="36" spans="1:29" x14ac:dyDescent="0.3">
      <c r="A36" s="1">
        <v>42338.457638888889</v>
      </c>
      <c r="B36">
        <v>35</v>
      </c>
      <c r="C36">
        <v>1</v>
      </c>
      <c r="D36">
        <v>14</v>
      </c>
      <c r="E36">
        <v>10</v>
      </c>
      <c r="F36">
        <v>25</v>
      </c>
      <c r="G36">
        <v>7205496</v>
      </c>
      <c r="H36" s="5">
        <v>720550</v>
      </c>
      <c r="I36" s="1">
        <v>27</v>
      </c>
      <c r="J36">
        <v>399</v>
      </c>
      <c r="K36">
        <v>2015</v>
      </c>
      <c r="L36">
        <v>11</v>
      </c>
      <c r="M36" t="s">
        <v>506</v>
      </c>
      <c r="N36" t="s">
        <v>13</v>
      </c>
      <c r="O36" t="s">
        <v>797</v>
      </c>
      <c r="P36">
        <v>393</v>
      </c>
      <c r="Q36">
        <v>3</v>
      </c>
      <c r="R36" t="s">
        <v>9</v>
      </c>
      <c r="S36" t="s">
        <v>13</v>
      </c>
      <c r="T36" t="s">
        <v>194</v>
      </c>
      <c r="U36" t="s">
        <v>81</v>
      </c>
      <c r="V36" t="s">
        <v>72</v>
      </c>
      <c r="W36">
        <v>0.1</v>
      </c>
      <c r="X36" t="s">
        <v>195</v>
      </c>
      <c r="Y36" t="s">
        <v>21</v>
      </c>
      <c r="Z36" t="s">
        <v>13</v>
      </c>
      <c r="AA36" t="s">
        <v>4</v>
      </c>
      <c r="AB36">
        <f xml:space="preserve"> COUNTIF(Fact[[#This Row],[Partner.Partner Driven]], "Yes") / COUNTA(Fact[Opportunity ID])</f>
        <v>2.05761316872428E-3</v>
      </c>
      <c r="AC36">
        <f>IFERROR(INDEX(Fact[[#All],[Opportunity ID]],MATCH(X36,Fact[[#All],[salestage.Sales Stage]],0))/INDEX(Fact[[#All],[Opportunity ID]],MATCH(X35,Fact[[#All],[salestage.Sales Stage]],0)), "")</f>
        <v>1</v>
      </c>
    </row>
    <row r="37" spans="1:29" x14ac:dyDescent="0.3">
      <c r="A37" s="1">
        <v>42027.457638888889</v>
      </c>
      <c r="B37">
        <v>36</v>
      </c>
      <c r="C37">
        <v>3</v>
      </c>
      <c r="D37">
        <v>35</v>
      </c>
      <c r="E37">
        <v>22</v>
      </c>
      <c r="F37">
        <v>20</v>
      </c>
      <c r="G37">
        <v>3163715</v>
      </c>
      <c r="H37" s="5">
        <v>1265486</v>
      </c>
      <c r="I37" s="1">
        <v>17</v>
      </c>
      <c r="J37">
        <v>371</v>
      </c>
      <c r="K37">
        <v>2015</v>
      </c>
      <c r="L37">
        <v>1</v>
      </c>
      <c r="M37" t="s">
        <v>511</v>
      </c>
      <c r="N37" t="s">
        <v>13</v>
      </c>
      <c r="O37" t="s">
        <v>808</v>
      </c>
      <c r="P37">
        <v>193</v>
      </c>
      <c r="Q37">
        <v>2</v>
      </c>
      <c r="R37" t="s">
        <v>143</v>
      </c>
      <c r="S37" t="s">
        <v>13</v>
      </c>
      <c r="T37" t="s">
        <v>189</v>
      </c>
      <c r="U37" t="s">
        <v>84</v>
      </c>
      <c r="V37" t="s">
        <v>85</v>
      </c>
      <c r="W37">
        <v>0.4</v>
      </c>
      <c r="X37" t="s">
        <v>197</v>
      </c>
      <c r="Y37" t="s">
        <v>42</v>
      </c>
      <c r="Z37" t="s">
        <v>8</v>
      </c>
      <c r="AA37" t="s">
        <v>4</v>
      </c>
      <c r="AB37">
        <f xml:space="preserve"> COUNTIF(Fact[[#This Row],[Partner.Partner Driven]], "Yes") / COUNTA(Fact[Opportunity ID])</f>
        <v>0</v>
      </c>
      <c r="AC37">
        <f>IFERROR(INDEX(Fact[[#All],[Opportunity ID]],MATCH(X37,Fact[[#All],[salestage.Sales Stage]],0))/INDEX(Fact[[#All],[Opportunity ID]],MATCH(X36,Fact[[#All],[salestage.Sales Stage]],0)), "")</f>
        <v>4.5</v>
      </c>
    </row>
    <row r="38" spans="1:29" x14ac:dyDescent="0.3">
      <c r="A38" s="1">
        <v>42019.457638888889</v>
      </c>
      <c r="B38">
        <v>37</v>
      </c>
      <c r="C38">
        <v>4</v>
      </c>
      <c r="D38">
        <v>36</v>
      </c>
      <c r="E38">
        <v>8</v>
      </c>
      <c r="F38">
        <v>5</v>
      </c>
      <c r="G38">
        <v>4001636</v>
      </c>
      <c r="H38" s="5">
        <v>2400982</v>
      </c>
      <c r="I38" s="1">
        <v>10</v>
      </c>
      <c r="J38">
        <v>370</v>
      </c>
      <c r="K38">
        <v>2015</v>
      </c>
      <c r="L38">
        <v>1</v>
      </c>
      <c r="M38" t="s">
        <v>511</v>
      </c>
      <c r="N38" t="s">
        <v>13</v>
      </c>
      <c r="O38" t="s">
        <v>819</v>
      </c>
      <c r="P38">
        <v>241</v>
      </c>
      <c r="Q38">
        <v>2</v>
      </c>
      <c r="R38" t="s">
        <v>143</v>
      </c>
      <c r="S38" t="s">
        <v>13</v>
      </c>
      <c r="T38" t="s">
        <v>174</v>
      </c>
      <c r="U38" t="s">
        <v>526</v>
      </c>
      <c r="V38" t="s">
        <v>72</v>
      </c>
      <c r="W38">
        <v>0.6</v>
      </c>
      <c r="X38" t="s">
        <v>198</v>
      </c>
      <c r="Y38" t="s">
        <v>43</v>
      </c>
      <c r="Z38" t="s">
        <v>3</v>
      </c>
      <c r="AA38" t="s">
        <v>4</v>
      </c>
      <c r="AB38">
        <f xml:space="preserve"> COUNTIF(Fact[[#This Row],[Partner.Partner Driven]], "Yes") / COUNTA(Fact[Opportunity ID])</f>
        <v>2.05761316872428E-3</v>
      </c>
      <c r="AC38">
        <f>IFERROR(INDEX(Fact[[#All],[Opportunity ID]],MATCH(X38,Fact[[#All],[salestage.Sales Stage]],0))/INDEX(Fact[[#All],[Opportunity ID]],MATCH(X37,Fact[[#All],[salestage.Sales Stage]],0)), "")</f>
        <v>3.1111111111111112</v>
      </c>
    </row>
    <row r="39" spans="1:29" x14ac:dyDescent="0.3">
      <c r="A39" s="1">
        <v>42022.457638888889</v>
      </c>
      <c r="B39">
        <v>38</v>
      </c>
      <c r="C39">
        <v>4</v>
      </c>
      <c r="D39">
        <v>23</v>
      </c>
      <c r="E39">
        <v>23</v>
      </c>
      <c r="F39">
        <v>19</v>
      </c>
      <c r="G39">
        <v>4618010</v>
      </c>
      <c r="H39" s="5">
        <v>2770806</v>
      </c>
      <c r="I39" s="1">
        <v>18</v>
      </c>
      <c r="J39">
        <v>365</v>
      </c>
      <c r="K39">
        <v>2015</v>
      </c>
      <c r="L39">
        <v>1</v>
      </c>
      <c r="M39" t="s">
        <v>511</v>
      </c>
      <c r="N39" t="s">
        <v>3</v>
      </c>
      <c r="O39" t="s">
        <v>830</v>
      </c>
      <c r="P39">
        <v>273</v>
      </c>
      <c r="Q39">
        <v>2</v>
      </c>
      <c r="R39" t="s">
        <v>143</v>
      </c>
      <c r="S39" t="s">
        <v>3</v>
      </c>
      <c r="T39" t="s">
        <v>188</v>
      </c>
      <c r="U39" t="s">
        <v>100</v>
      </c>
      <c r="V39" t="s">
        <v>72</v>
      </c>
      <c r="W39">
        <v>0.6</v>
      </c>
      <c r="X39" t="s">
        <v>198</v>
      </c>
      <c r="Y39" t="s">
        <v>30</v>
      </c>
      <c r="Z39" t="s">
        <v>8</v>
      </c>
      <c r="AA39" t="s">
        <v>9</v>
      </c>
      <c r="AB39">
        <f xml:space="preserve"> COUNTIF(Fact[[#This Row],[Partner.Partner Driven]], "Yes") / COUNTA(Fact[Opportunity ID])</f>
        <v>2.05761316872428E-3</v>
      </c>
      <c r="AC39">
        <f>IFERROR(INDEX(Fact[[#All],[Opportunity ID]],MATCH(X39,Fact[[#All],[salestage.Sales Stage]],0))/INDEX(Fact[[#All],[Opportunity ID]],MATCH(X38,Fact[[#All],[salestage.Sales Stage]],0)), "")</f>
        <v>1</v>
      </c>
    </row>
    <row r="40" spans="1:29" x14ac:dyDescent="0.3">
      <c r="A40" s="1">
        <v>42185.457638888889</v>
      </c>
      <c r="B40">
        <v>39</v>
      </c>
      <c r="C40">
        <v>1</v>
      </c>
      <c r="D40">
        <v>22</v>
      </c>
      <c r="E40">
        <v>22</v>
      </c>
      <c r="F40">
        <v>17</v>
      </c>
      <c r="G40">
        <v>4862891</v>
      </c>
      <c r="H40" s="5">
        <v>486289</v>
      </c>
      <c r="I40" s="1">
        <v>7</v>
      </c>
      <c r="J40">
        <v>388</v>
      </c>
      <c r="K40">
        <v>2015</v>
      </c>
      <c r="L40">
        <v>6</v>
      </c>
      <c r="M40" t="s">
        <v>70</v>
      </c>
      <c r="N40" t="s">
        <v>8</v>
      </c>
      <c r="O40" t="s">
        <v>841</v>
      </c>
      <c r="P40">
        <v>284</v>
      </c>
      <c r="Q40">
        <v>2</v>
      </c>
      <c r="R40" t="s">
        <v>143</v>
      </c>
      <c r="S40" t="s">
        <v>8</v>
      </c>
      <c r="T40" t="s">
        <v>186</v>
      </c>
      <c r="U40" t="s">
        <v>84</v>
      </c>
      <c r="V40" t="s">
        <v>85</v>
      </c>
      <c r="W40">
        <v>0.1</v>
      </c>
      <c r="X40" t="s">
        <v>195</v>
      </c>
      <c r="Y40" t="s">
        <v>29</v>
      </c>
      <c r="Z40" t="s">
        <v>13</v>
      </c>
      <c r="AA40" t="s">
        <v>4</v>
      </c>
      <c r="AB40">
        <f xml:space="preserve"> COUNTIF(Fact[[#This Row],[Partner.Partner Driven]], "Yes") / COUNTA(Fact[Opportunity ID])</f>
        <v>0</v>
      </c>
      <c r="AC40">
        <f>IFERROR(INDEX(Fact[[#All],[Opportunity ID]],MATCH(X40,Fact[[#All],[salestage.Sales Stage]],0))/INDEX(Fact[[#All],[Opportunity ID]],MATCH(X39,Fact[[#All],[salestage.Sales Stage]],0)), "")</f>
        <v>7.1428571428571425E-2</v>
      </c>
    </row>
    <row r="41" spans="1:29" x14ac:dyDescent="0.3">
      <c r="A41" s="1">
        <v>42088.457638888889</v>
      </c>
      <c r="B41">
        <v>40</v>
      </c>
      <c r="C41">
        <v>4</v>
      </c>
      <c r="D41">
        <v>37</v>
      </c>
      <c r="E41">
        <v>22</v>
      </c>
      <c r="F41">
        <v>3</v>
      </c>
      <c r="G41">
        <v>4201630</v>
      </c>
      <c r="H41" s="5">
        <v>2520978</v>
      </c>
      <c r="I41" s="1">
        <v>19</v>
      </c>
      <c r="J41">
        <v>399</v>
      </c>
      <c r="K41">
        <v>2015</v>
      </c>
      <c r="L41">
        <v>3</v>
      </c>
      <c r="M41" t="s">
        <v>512</v>
      </c>
      <c r="N41" t="s">
        <v>13</v>
      </c>
      <c r="O41" t="s">
        <v>853</v>
      </c>
      <c r="P41">
        <v>254</v>
      </c>
      <c r="Q41">
        <v>2</v>
      </c>
      <c r="R41" t="s">
        <v>143</v>
      </c>
      <c r="S41" t="s">
        <v>13</v>
      </c>
      <c r="T41" t="s">
        <v>172</v>
      </c>
      <c r="U41" t="s">
        <v>84</v>
      </c>
      <c r="V41" t="s">
        <v>85</v>
      </c>
      <c r="W41">
        <v>0.6</v>
      </c>
      <c r="X41" t="s">
        <v>198</v>
      </c>
      <c r="Y41" t="s">
        <v>44</v>
      </c>
      <c r="Z41" t="s">
        <v>13</v>
      </c>
      <c r="AA41" t="s">
        <v>9</v>
      </c>
      <c r="AB41">
        <f xml:space="preserve"> COUNTIF(Fact[[#This Row],[Partner.Partner Driven]], "Yes") / COUNTA(Fact[Opportunity ID])</f>
        <v>0</v>
      </c>
      <c r="AC41">
        <f>IFERROR(INDEX(Fact[[#All],[Opportunity ID]],MATCH(X41,Fact[[#All],[salestage.Sales Stage]],0))/INDEX(Fact[[#All],[Opportunity ID]],MATCH(X40,Fact[[#All],[salestage.Sales Stage]],0)), "")</f>
        <v>14</v>
      </c>
    </row>
    <row r="42" spans="1:29" x14ac:dyDescent="0.3">
      <c r="A42" s="1">
        <v>42063.457638888889</v>
      </c>
      <c r="B42">
        <v>41</v>
      </c>
      <c r="C42">
        <v>3</v>
      </c>
      <c r="D42">
        <v>38</v>
      </c>
      <c r="E42">
        <v>22</v>
      </c>
      <c r="F42">
        <v>13</v>
      </c>
      <c r="G42">
        <v>4592818</v>
      </c>
      <c r="H42" s="5">
        <v>1837127</v>
      </c>
      <c r="I42" s="1">
        <v>14</v>
      </c>
      <c r="J42">
        <v>410</v>
      </c>
      <c r="K42">
        <v>2015</v>
      </c>
      <c r="L42">
        <v>2</v>
      </c>
      <c r="M42" t="s">
        <v>509</v>
      </c>
      <c r="N42" t="s">
        <v>3</v>
      </c>
      <c r="O42" t="s">
        <v>864</v>
      </c>
      <c r="P42">
        <v>271</v>
      </c>
      <c r="Q42">
        <v>2</v>
      </c>
      <c r="R42" t="s">
        <v>143</v>
      </c>
      <c r="S42" t="s">
        <v>3</v>
      </c>
      <c r="T42" t="s">
        <v>182</v>
      </c>
      <c r="U42" t="s">
        <v>84</v>
      </c>
      <c r="V42" t="s">
        <v>85</v>
      </c>
      <c r="W42">
        <v>0.4</v>
      </c>
      <c r="X42" t="s">
        <v>197</v>
      </c>
      <c r="Y42" t="s">
        <v>45</v>
      </c>
      <c r="Z42" t="s">
        <v>3</v>
      </c>
      <c r="AA42" t="s">
        <v>9</v>
      </c>
      <c r="AB42">
        <f xml:space="preserve"> COUNTIF(Fact[[#This Row],[Partner.Partner Driven]], "Yes") / COUNTA(Fact[Opportunity ID])</f>
        <v>0</v>
      </c>
      <c r="AC42">
        <f>IFERROR(INDEX(Fact[[#All],[Opportunity ID]],MATCH(X42,Fact[[#All],[salestage.Sales Stage]],0))/INDEX(Fact[[#All],[Opportunity ID]],MATCH(X41,Fact[[#All],[salestage.Sales Stage]],0)), "")</f>
        <v>0.32142857142857145</v>
      </c>
    </row>
    <row r="43" spans="1:29" x14ac:dyDescent="0.3">
      <c r="A43" s="1">
        <v>42369.457638888889</v>
      </c>
      <c r="B43">
        <v>42</v>
      </c>
      <c r="C43">
        <v>1</v>
      </c>
      <c r="D43">
        <v>39</v>
      </c>
      <c r="E43">
        <v>22</v>
      </c>
      <c r="F43">
        <v>13</v>
      </c>
      <c r="G43">
        <v>6433642</v>
      </c>
      <c r="H43" s="5">
        <v>643364</v>
      </c>
      <c r="I43" s="1">
        <v>11</v>
      </c>
      <c r="J43">
        <v>538</v>
      </c>
      <c r="K43">
        <v>2015</v>
      </c>
      <c r="L43">
        <v>12</v>
      </c>
      <c r="M43" t="s">
        <v>508</v>
      </c>
      <c r="N43" t="s">
        <v>13</v>
      </c>
      <c r="O43" t="s">
        <v>875</v>
      </c>
      <c r="P43">
        <v>365</v>
      </c>
      <c r="Q43">
        <v>3</v>
      </c>
      <c r="R43" t="s">
        <v>9</v>
      </c>
      <c r="S43" t="s">
        <v>13</v>
      </c>
      <c r="T43" t="s">
        <v>182</v>
      </c>
      <c r="U43" t="s">
        <v>84</v>
      </c>
      <c r="V43" t="s">
        <v>85</v>
      </c>
      <c r="W43">
        <v>0.1</v>
      </c>
      <c r="X43" t="s">
        <v>195</v>
      </c>
      <c r="Y43" t="s">
        <v>46</v>
      </c>
      <c r="Z43" t="s">
        <v>8</v>
      </c>
      <c r="AA43" t="s">
        <v>9</v>
      </c>
      <c r="AB43">
        <f xml:space="preserve"> COUNTIF(Fact[[#This Row],[Partner.Partner Driven]], "Yes") / COUNTA(Fact[Opportunity ID])</f>
        <v>0</v>
      </c>
      <c r="AC43">
        <f>IFERROR(INDEX(Fact[[#All],[Opportunity ID]],MATCH(X43,Fact[[#All],[salestage.Sales Stage]],0))/INDEX(Fact[[#All],[Opportunity ID]],MATCH(X42,Fact[[#All],[salestage.Sales Stage]],0)), "")</f>
        <v>0.22222222222222221</v>
      </c>
    </row>
    <row r="44" spans="1:29" x14ac:dyDescent="0.3">
      <c r="A44" s="1">
        <v>42308.457638888889</v>
      </c>
      <c r="B44">
        <v>43</v>
      </c>
      <c r="C44">
        <v>1</v>
      </c>
      <c r="D44">
        <v>40</v>
      </c>
      <c r="E44">
        <v>14</v>
      </c>
      <c r="F44">
        <v>17</v>
      </c>
      <c r="G44">
        <v>236607</v>
      </c>
      <c r="H44" s="5">
        <v>23661</v>
      </c>
      <c r="I44" s="1">
        <v>8</v>
      </c>
      <c r="J44">
        <v>480</v>
      </c>
      <c r="K44">
        <v>2015</v>
      </c>
      <c r="L44">
        <v>10</v>
      </c>
      <c r="M44" t="s">
        <v>505</v>
      </c>
      <c r="N44" t="s">
        <v>3</v>
      </c>
      <c r="O44" t="s">
        <v>886</v>
      </c>
      <c r="P44">
        <v>26</v>
      </c>
      <c r="Q44">
        <v>1</v>
      </c>
      <c r="R44" t="s">
        <v>138</v>
      </c>
      <c r="S44" t="s">
        <v>3</v>
      </c>
      <c r="T44" t="s">
        <v>186</v>
      </c>
      <c r="U44" t="s">
        <v>516</v>
      </c>
      <c r="V44" t="s">
        <v>72</v>
      </c>
      <c r="W44">
        <v>0.1</v>
      </c>
      <c r="X44" t="s">
        <v>195</v>
      </c>
      <c r="Y44" t="s">
        <v>47</v>
      </c>
      <c r="Z44" t="s">
        <v>13</v>
      </c>
      <c r="AA44" t="s">
        <v>4</v>
      </c>
      <c r="AB44">
        <f xml:space="preserve"> COUNTIF(Fact[[#This Row],[Partner.Partner Driven]], "Yes") / COUNTA(Fact[Opportunity ID])</f>
        <v>2.05761316872428E-3</v>
      </c>
      <c r="AC44">
        <f>IFERROR(INDEX(Fact[[#All],[Opportunity ID]],MATCH(X44,Fact[[#All],[salestage.Sales Stage]],0))/INDEX(Fact[[#All],[Opportunity ID]],MATCH(X43,Fact[[#All],[salestage.Sales Stage]],0)), "")</f>
        <v>1</v>
      </c>
    </row>
    <row r="45" spans="1:29" x14ac:dyDescent="0.3">
      <c r="A45" s="1">
        <v>42064.457638888889</v>
      </c>
      <c r="B45">
        <v>44</v>
      </c>
      <c r="C45">
        <v>1</v>
      </c>
      <c r="D45">
        <v>41</v>
      </c>
      <c r="E45">
        <v>24</v>
      </c>
      <c r="F45">
        <v>18</v>
      </c>
      <c r="G45">
        <v>9333422</v>
      </c>
      <c r="H45" s="5">
        <v>933342</v>
      </c>
      <c r="I45" s="1">
        <v>1</v>
      </c>
      <c r="J45">
        <v>365</v>
      </c>
      <c r="K45">
        <v>2015</v>
      </c>
      <c r="L45">
        <v>3</v>
      </c>
      <c r="M45" t="s">
        <v>512</v>
      </c>
      <c r="N45" t="s">
        <v>3</v>
      </c>
      <c r="O45" t="s">
        <v>897</v>
      </c>
      <c r="P45">
        <v>452</v>
      </c>
      <c r="Q45">
        <v>3</v>
      </c>
      <c r="R45" t="s">
        <v>9</v>
      </c>
      <c r="S45" t="s">
        <v>3</v>
      </c>
      <c r="T45" t="s">
        <v>187</v>
      </c>
      <c r="U45" t="s">
        <v>518</v>
      </c>
      <c r="V45" t="s">
        <v>72</v>
      </c>
      <c r="W45">
        <v>0.1</v>
      </c>
      <c r="X45" t="s">
        <v>195</v>
      </c>
      <c r="Y45" t="s">
        <v>48</v>
      </c>
      <c r="Z45" t="s">
        <v>3</v>
      </c>
      <c r="AA45" t="s">
        <v>4</v>
      </c>
      <c r="AB45">
        <f xml:space="preserve"> COUNTIF(Fact[[#This Row],[Partner.Partner Driven]], "Yes") / COUNTA(Fact[Opportunity ID])</f>
        <v>2.05761316872428E-3</v>
      </c>
      <c r="AC45">
        <f>IFERROR(INDEX(Fact[[#All],[Opportunity ID]],MATCH(X45,Fact[[#All],[salestage.Sales Stage]],0))/INDEX(Fact[[#All],[Opportunity ID]],MATCH(X44,Fact[[#All],[salestage.Sales Stage]],0)), "")</f>
        <v>1</v>
      </c>
    </row>
    <row r="46" spans="1:29" x14ac:dyDescent="0.3">
      <c r="A46" s="1">
        <v>42338.457638888889</v>
      </c>
      <c r="B46">
        <v>45</v>
      </c>
      <c r="C46">
        <v>1</v>
      </c>
      <c r="D46">
        <v>42</v>
      </c>
      <c r="E46">
        <v>25</v>
      </c>
      <c r="F46">
        <v>1</v>
      </c>
      <c r="G46">
        <v>7012618</v>
      </c>
      <c r="H46" s="5">
        <v>701262</v>
      </c>
      <c r="I46" s="1">
        <v>6</v>
      </c>
      <c r="J46">
        <v>542</v>
      </c>
      <c r="K46">
        <v>2015</v>
      </c>
      <c r="L46">
        <v>11</v>
      </c>
      <c r="M46" t="s">
        <v>506</v>
      </c>
      <c r="N46" t="s">
        <v>3</v>
      </c>
      <c r="O46" t="s">
        <v>908</v>
      </c>
      <c r="P46">
        <v>386</v>
      </c>
      <c r="Q46">
        <v>3</v>
      </c>
      <c r="R46" t="s">
        <v>9</v>
      </c>
      <c r="S46" t="s">
        <v>3</v>
      </c>
      <c r="T46" t="s">
        <v>170</v>
      </c>
      <c r="U46" t="s">
        <v>124</v>
      </c>
      <c r="V46" t="s">
        <v>72</v>
      </c>
      <c r="W46">
        <v>0.1</v>
      </c>
      <c r="X46" t="s">
        <v>195</v>
      </c>
      <c r="Y46" t="s">
        <v>49</v>
      </c>
      <c r="Z46" t="s">
        <v>13</v>
      </c>
      <c r="AA46" t="s">
        <v>4</v>
      </c>
      <c r="AB46">
        <f xml:space="preserve"> COUNTIF(Fact[[#This Row],[Partner.Partner Driven]], "Yes") / COUNTA(Fact[Opportunity ID])</f>
        <v>2.05761316872428E-3</v>
      </c>
      <c r="AC46">
        <f>IFERROR(INDEX(Fact[[#All],[Opportunity ID]],MATCH(X46,Fact[[#All],[salestage.Sales Stage]],0))/INDEX(Fact[[#All],[Opportunity ID]],MATCH(X45,Fact[[#All],[salestage.Sales Stage]],0)), "")</f>
        <v>1</v>
      </c>
    </row>
    <row r="47" spans="1:29" x14ac:dyDescent="0.3">
      <c r="A47" s="1">
        <v>42369.457638888889</v>
      </c>
      <c r="B47">
        <v>46</v>
      </c>
      <c r="C47">
        <v>1</v>
      </c>
      <c r="D47">
        <v>43</v>
      </c>
      <c r="E47">
        <v>26</v>
      </c>
      <c r="F47">
        <v>11</v>
      </c>
      <c r="G47">
        <v>8357065</v>
      </c>
      <c r="H47" s="5">
        <v>835707</v>
      </c>
      <c r="I47" s="1">
        <v>25</v>
      </c>
      <c r="J47">
        <v>432</v>
      </c>
      <c r="K47">
        <v>2015</v>
      </c>
      <c r="L47">
        <v>12</v>
      </c>
      <c r="M47" t="s">
        <v>508</v>
      </c>
      <c r="N47" t="s">
        <v>13</v>
      </c>
      <c r="O47" t="s">
        <v>919</v>
      </c>
      <c r="P47">
        <v>425</v>
      </c>
      <c r="Q47">
        <v>3</v>
      </c>
      <c r="R47" t="s">
        <v>9</v>
      </c>
      <c r="S47" t="s">
        <v>13</v>
      </c>
      <c r="T47" t="s">
        <v>180</v>
      </c>
      <c r="U47" t="s">
        <v>515</v>
      </c>
      <c r="V47" t="s">
        <v>72</v>
      </c>
      <c r="W47">
        <v>0.1</v>
      </c>
      <c r="X47" t="s">
        <v>195</v>
      </c>
      <c r="Y47" t="s">
        <v>50</v>
      </c>
      <c r="Z47" t="s">
        <v>3</v>
      </c>
      <c r="AA47" t="s">
        <v>6</v>
      </c>
      <c r="AB47">
        <f xml:space="preserve"> COUNTIF(Fact[[#This Row],[Partner.Partner Driven]], "Yes") / COUNTA(Fact[Opportunity ID])</f>
        <v>2.05761316872428E-3</v>
      </c>
      <c r="AC47">
        <f>IFERROR(INDEX(Fact[[#All],[Opportunity ID]],MATCH(X47,Fact[[#All],[salestage.Sales Stage]],0))/INDEX(Fact[[#All],[Opportunity ID]],MATCH(X46,Fact[[#All],[salestage.Sales Stage]],0)), "")</f>
        <v>1</v>
      </c>
    </row>
    <row r="48" spans="1:29" x14ac:dyDescent="0.3">
      <c r="A48" s="1">
        <v>42062.457638888889</v>
      </c>
      <c r="B48">
        <v>47</v>
      </c>
      <c r="C48">
        <v>1</v>
      </c>
      <c r="D48">
        <v>44</v>
      </c>
      <c r="E48">
        <v>22</v>
      </c>
      <c r="F48">
        <v>7</v>
      </c>
      <c r="G48">
        <v>3247209</v>
      </c>
      <c r="H48" s="5">
        <v>324721</v>
      </c>
      <c r="I48" s="1">
        <v>5</v>
      </c>
      <c r="J48">
        <v>418</v>
      </c>
      <c r="K48">
        <v>2015</v>
      </c>
      <c r="L48">
        <v>2</v>
      </c>
      <c r="M48" t="s">
        <v>509</v>
      </c>
      <c r="N48" t="s">
        <v>13</v>
      </c>
      <c r="O48" t="s">
        <v>930</v>
      </c>
      <c r="P48">
        <v>200</v>
      </c>
      <c r="Q48">
        <v>2</v>
      </c>
      <c r="R48" t="s">
        <v>143</v>
      </c>
      <c r="S48" t="s">
        <v>13</v>
      </c>
      <c r="T48" t="s">
        <v>176</v>
      </c>
      <c r="U48" t="s">
        <v>84</v>
      </c>
      <c r="V48" t="s">
        <v>85</v>
      </c>
      <c r="W48">
        <v>0.1</v>
      </c>
      <c r="X48" t="s">
        <v>195</v>
      </c>
      <c r="Y48" t="s">
        <v>51</v>
      </c>
      <c r="Z48" t="s">
        <v>8</v>
      </c>
      <c r="AA48" t="s">
        <v>4</v>
      </c>
      <c r="AB48">
        <f xml:space="preserve"> COUNTIF(Fact[[#This Row],[Partner.Partner Driven]], "Yes") / COUNTA(Fact[Opportunity ID])</f>
        <v>0</v>
      </c>
      <c r="AC48">
        <f>IFERROR(INDEX(Fact[[#All],[Opportunity ID]],MATCH(X48,Fact[[#All],[salestage.Sales Stage]],0))/INDEX(Fact[[#All],[Opportunity ID]],MATCH(X47,Fact[[#All],[salestage.Sales Stage]],0)), "")</f>
        <v>1</v>
      </c>
    </row>
    <row r="49" spans="1:29" x14ac:dyDescent="0.3">
      <c r="A49" s="1">
        <v>42369.457638888889</v>
      </c>
      <c r="B49">
        <v>48</v>
      </c>
      <c r="C49">
        <v>1</v>
      </c>
      <c r="D49">
        <v>45</v>
      </c>
      <c r="E49">
        <v>27</v>
      </c>
      <c r="F49">
        <v>20</v>
      </c>
      <c r="G49">
        <v>8216030</v>
      </c>
      <c r="H49" s="5">
        <v>821603</v>
      </c>
      <c r="I49" s="1">
        <v>5</v>
      </c>
      <c r="J49">
        <v>605</v>
      </c>
      <c r="K49">
        <v>2015</v>
      </c>
      <c r="L49">
        <v>12</v>
      </c>
      <c r="M49" t="s">
        <v>508</v>
      </c>
      <c r="N49" t="s">
        <v>3</v>
      </c>
      <c r="O49" t="s">
        <v>941</v>
      </c>
      <c r="P49">
        <v>418</v>
      </c>
      <c r="Q49">
        <v>3</v>
      </c>
      <c r="R49" t="s">
        <v>9</v>
      </c>
      <c r="S49" t="s">
        <v>3</v>
      </c>
      <c r="T49" t="s">
        <v>189</v>
      </c>
      <c r="U49" t="s">
        <v>116</v>
      </c>
      <c r="V49" t="s">
        <v>72</v>
      </c>
      <c r="W49">
        <v>0.1</v>
      </c>
      <c r="X49" t="s">
        <v>195</v>
      </c>
      <c r="Y49" t="s">
        <v>52</v>
      </c>
      <c r="Z49" t="s">
        <v>3</v>
      </c>
      <c r="AA49" t="s">
        <v>6</v>
      </c>
      <c r="AB49">
        <f xml:space="preserve"> COUNTIF(Fact[[#This Row],[Partner.Partner Driven]], "Yes") / COUNTA(Fact[Opportunity ID])</f>
        <v>2.05761316872428E-3</v>
      </c>
      <c r="AC49">
        <f>IFERROR(INDEX(Fact[[#All],[Opportunity ID]],MATCH(X49,Fact[[#All],[salestage.Sales Stage]],0))/INDEX(Fact[[#All],[Opportunity ID]],MATCH(X48,Fact[[#All],[salestage.Sales Stage]],0)), "")</f>
        <v>1</v>
      </c>
    </row>
    <row r="50" spans="1:29" x14ac:dyDescent="0.3">
      <c r="A50" s="1">
        <v>42173.457638888889</v>
      </c>
      <c r="B50">
        <v>49</v>
      </c>
      <c r="C50">
        <v>3</v>
      </c>
      <c r="D50">
        <v>46</v>
      </c>
      <c r="E50">
        <v>3</v>
      </c>
      <c r="F50">
        <v>25</v>
      </c>
      <c r="G50">
        <v>239200</v>
      </c>
      <c r="H50" s="5">
        <v>95680</v>
      </c>
      <c r="I50" s="1">
        <v>5</v>
      </c>
      <c r="J50">
        <v>529</v>
      </c>
      <c r="K50">
        <v>2015</v>
      </c>
      <c r="L50">
        <v>6</v>
      </c>
      <c r="M50" t="s">
        <v>70</v>
      </c>
      <c r="N50" t="s">
        <v>3</v>
      </c>
      <c r="O50" t="s">
        <v>949</v>
      </c>
      <c r="P50">
        <v>27</v>
      </c>
      <c r="Q50">
        <v>1</v>
      </c>
      <c r="R50" t="s">
        <v>138</v>
      </c>
      <c r="S50" t="s">
        <v>3</v>
      </c>
      <c r="T50" t="s">
        <v>194</v>
      </c>
      <c r="U50" t="s">
        <v>115</v>
      </c>
      <c r="V50" t="s">
        <v>72</v>
      </c>
      <c r="W50">
        <v>0.4</v>
      </c>
      <c r="X50" t="s">
        <v>197</v>
      </c>
      <c r="Y50" t="s">
        <v>53</v>
      </c>
      <c r="Z50" t="s">
        <v>3</v>
      </c>
      <c r="AA50" t="s">
        <v>6</v>
      </c>
      <c r="AB50">
        <f xml:space="preserve"> COUNTIF(Fact[[#This Row],[Partner.Partner Driven]], "Yes") / COUNTA(Fact[Opportunity ID])</f>
        <v>2.05761316872428E-3</v>
      </c>
      <c r="AC50">
        <f>IFERROR(INDEX(Fact[[#All],[Opportunity ID]],MATCH(X50,Fact[[#All],[salestage.Sales Stage]],0))/INDEX(Fact[[#All],[Opportunity ID]],MATCH(X49,Fact[[#All],[salestage.Sales Stage]],0)), "")</f>
        <v>4.5</v>
      </c>
    </row>
    <row r="51" spans="1:29" x14ac:dyDescent="0.3">
      <c r="A51" s="1">
        <v>42308.457638888889</v>
      </c>
      <c r="B51">
        <v>50</v>
      </c>
      <c r="C51">
        <v>1</v>
      </c>
      <c r="D51">
        <v>11</v>
      </c>
      <c r="E51">
        <v>8</v>
      </c>
      <c r="F51">
        <v>11</v>
      </c>
      <c r="G51">
        <v>10342876</v>
      </c>
      <c r="H51" s="5">
        <v>1034288</v>
      </c>
      <c r="I51" s="1">
        <v>19</v>
      </c>
      <c r="J51">
        <v>530</v>
      </c>
      <c r="K51">
        <v>2015</v>
      </c>
      <c r="L51">
        <v>10</v>
      </c>
      <c r="M51" t="s">
        <v>505</v>
      </c>
      <c r="N51" t="s">
        <v>3</v>
      </c>
      <c r="O51" t="s">
        <v>951</v>
      </c>
      <c r="P51">
        <v>469</v>
      </c>
      <c r="Q51">
        <v>3</v>
      </c>
      <c r="R51" t="s">
        <v>9</v>
      </c>
      <c r="S51" t="s">
        <v>3</v>
      </c>
      <c r="T51" t="s">
        <v>180</v>
      </c>
      <c r="U51" t="s">
        <v>526</v>
      </c>
      <c r="V51" t="s">
        <v>72</v>
      </c>
      <c r="W51">
        <v>0.1</v>
      </c>
      <c r="X51" t="s">
        <v>195</v>
      </c>
      <c r="Y51" t="s">
        <v>18</v>
      </c>
      <c r="Z51" t="s">
        <v>13</v>
      </c>
      <c r="AA51" t="s">
        <v>4</v>
      </c>
      <c r="AB51">
        <f xml:space="preserve"> COUNTIF(Fact[[#This Row],[Partner.Partner Driven]], "Yes") / COUNTA(Fact[Opportunity ID])</f>
        <v>2.05761316872428E-3</v>
      </c>
      <c r="AC51">
        <f>IFERROR(INDEX(Fact[[#All],[Opportunity ID]],MATCH(X51,Fact[[#All],[salestage.Sales Stage]],0))/INDEX(Fact[[#All],[Opportunity ID]],MATCH(X50,Fact[[#All],[salestage.Sales Stage]],0)), "")</f>
        <v>0.22222222222222221</v>
      </c>
    </row>
    <row r="52" spans="1:29" x14ac:dyDescent="0.3">
      <c r="A52" s="1">
        <v>42111.457638888889</v>
      </c>
      <c r="B52">
        <v>51</v>
      </c>
      <c r="C52">
        <v>3</v>
      </c>
      <c r="D52">
        <v>47</v>
      </c>
      <c r="E52">
        <v>6</v>
      </c>
      <c r="F52">
        <v>3</v>
      </c>
      <c r="G52">
        <v>35372</v>
      </c>
      <c r="H52" s="5">
        <v>14149</v>
      </c>
      <c r="I52" s="1">
        <v>16</v>
      </c>
      <c r="J52">
        <v>456</v>
      </c>
      <c r="K52">
        <v>2015</v>
      </c>
      <c r="L52">
        <v>4</v>
      </c>
      <c r="M52" t="s">
        <v>510</v>
      </c>
      <c r="N52" t="s">
        <v>3</v>
      </c>
      <c r="O52" t="s">
        <v>952</v>
      </c>
      <c r="P52">
        <v>4</v>
      </c>
      <c r="Q52">
        <v>1</v>
      </c>
      <c r="R52" t="s">
        <v>138</v>
      </c>
      <c r="S52" t="s">
        <v>3</v>
      </c>
      <c r="T52" t="s">
        <v>172</v>
      </c>
      <c r="U52" t="s">
        <v>92</v>
      </c>
      <c r="V52" t="s">
        <v>72</v>
      </c>
      <c r="W52">
        <v>0.4</v>
      </c>
      <c r="X52" t="s">
        <v>197</v>
      </c>
      <c r="Y52" t="s">
        <v>54</v>
      </c>
      <c r="Z52" t="s">
        <v>8</v>
      </c>
      <c r="AA52" t="s">
        <v>9</v>
      </c>
      <c r="AB52">
        <f xml:space="preserve"> COUNTIF(Fact[[#This Row],[Partner.Partner Driven]], "Yes") / COUNTA(Fact[Opportunity ID])</f>
        <v>2.05761316872428E-3</v>
      </c>
      <c r="AC52">
        <f>IFERROR(INDEX(Fact[[#All],[Opportunity ID]],MATCH(X52,Fact[[#All],[salestage.Sales Stage]],0))/INDEX(Fact[[#All],[Opportunity ID]],MATCH(X51,Fact[[#All],[salestage.Sales Stage]],0)), "")</f>
        <v>4.5</v>
      </c>
    </row>
    <row r="53" spans="1:29" x14ac:dyDescent="0.3">
      <c r="A53" s="1">
        <v>42369.457638888889</v>
      </c>
      <c r="B53">
        <v>52</v>
      </c>
      <c r="C53">
        <v>1</v>
      </c>
      <c r="D53">
        <v>48</v>
      </c>
      <c r="E53">
        <v>15</v>
      </c>
      <c r="F53">
        <v>18</v>
      </c>
      <c r="G53">
        <v>10021946</v>
      </c>
      <c r="H53" s="5">
        <v>1002195</v>
      </c>
      <c r="I53" s="1">
        <v>23</v>
      </c>
      <c r="J53">
        <v>648</v>
      </c>
      <c r="K53">
        <v>2015</v>
      </c>
      <c r="L53">
        <v>12</v>
      </c>
      <c r="M53" t="s">
        <v>508</v>
      </c>
      <c r="N53" t="s">
        <v>8</v>
      </c>
      <c r="O53" t="s">
        <v>953</v>
      </c>
      <c r="P53">
        <v>463</v>
      </c>
      <c r="Q53">
        <v>3</v>
      </c>
      <c r="R53" t="s">
        <v>9</v>
      </c>
      <c r="S53" t="s">
        <v>8</v>
      </c>
      <c r="T53" t="s">
        <v>187</v>
      </c>
      <c r="U53" t="s">
        <v>82</v>
      </c>
      <c r="V53" t="s">
        <v>72</v>
      </c>
      <c r="W53">
        <v>0.1</v>
      </c>
      <c r="X53" t="s">
        <v>195</v>
      </c>
      <c r="Y53" t="s">
        <v>55</v>
      </c>
      <c r="Z53" t="s">
        <v>13</v>
      </c>
      <c r="AA53" t="s">
        <v>6</v>
      </c>
      <c r="AB53">
        <f xml:space="preserve"> COUNTIF(Fact[[#This Row],[Partner.Partner Driven]], "Yes") / COUNTA(Fact[Opportunity ID])</f>
        <v>2.05761316872428E-3</v>
      </c>
      <c r="AC53">
        <f>IFERROR(INDEX(Fact[[#All],[Opportunity ID]],MATCH(X53,Fact[[#All],[salestage.Sales Stage]],0))/INDEX(Fact[[#All],[Opportunity ID]],MATCH(X52,Fact[[#All],[salestage.Sales Stage]],0)), "")</f>
        <v>0.22222222222222221</v>
      </c>
    </row>
    <row r="54" spans="1:29" x14ac:dyDescent="0.3">
      <c r="A54" s="1">
        <v>42369.457638888889</v>
      </c>
      <c r="B54">
        <v>53</v>
      </c>
      <c r="C54">
        <v>1</v>
      </c>
      <c r="D54">
        <v>49</v>
      </c>
      <c r="E54">
        <v>22</v>
      </c>
      <c r="F54">
        <v>19</v>
      </c>
      <c r="G54">
        <v>2138793</v>
      </c>
      <c r="H54" s="5">
        <v>213879</v>
      </c>
      <c r="I54" s="1">
        <v>2</v>
      </c>
      <c r="J54">
        <v>394</v>
      </c>
      <c r="K54">
        <v>2015</v>
      </c>
      <c r="L54">
        <v>12</v>
      </c>
      <c r="M54" t="s">
        <v>508</v>
      </c>
      <c r="N54" t="s">
        <v>3</v>
      </c>
      <c r="O54" t="s">
        <v>954</v>
      </c>
      <c r="P54">
        <v>141</v>
      </c>
      <c r="Q54">
        <v>1</v>
      </c>
      <c r="R54" t="s">
        <v>138</v>
      </c>
      <c r="S54" t="s">
        <v>3</v>
      </c>
      <c r="T54" t="s">
        <v>188</v>
      </c>
      <c r="U54" t="s">
        <v>84</v>
      </c>
      <c r="V54" t="s">
        <v>85</v>
      </c>
      <c r="W54">
        <v>0.1</v>
      </c>
      <c r="X54" t="s">
        <v>195</v>
      </c>
      <c r="Y54" t="s">
        <v>200</v>
      </c>
      <c r="Z54" t="s">
        <v>3</v>
      </c>
      <c r="AA54" t="s">
        <v>9</v>
      </c>
      <c r="AB54">
        <f xml:space="preserve"> COUNTIF(Fact[[#This Row],[Partner.Partner Driven]], "Yes") / COUNTA(Fact[Opportunity ID])</f>
        <v>0</v>
      </c>
      <c r="AC54">
        <f>IFERROR(INDEX(Fact[[#All],[Opportunity ID]],MATCH(X54,Fact[[#All],[salestage.Sales Stage]],0))/INDEX(Fact[[#All],[Opportunity ID]],MATCH(X53,Fact[[#All],[salestage.Sales Stage]],0)), "")</f>
        <v>1</v>
      </c>
    </row>
    <row r="55" spans="1:29" x14ac:dyDescent="0.3">
      <c r="A55" s="1">
        <v>42034.457638888889</v>
      </c>
      <c r="B55">
        <v>54</v>
      </c>
      <c r="C55">
        <v>5</v>
      </c>
      <c r="D55">
        <v>50</v>
      </c>
      <c r="E55">
        <v>22</v>
      </c>
      <c r="F55">
        <v>19</v>
      </c>
      <c r="G55">
        <v>5977772</v>
      </c>
      <c r="H55" s="5">
        <v>4782218</v>
      </c>
      <c r="I55" s="1">
        <v>5</v>
      </c>
      <c r="J55">
        <v>390</v>
      </c>
      <c r="K55">
        <v>2015</v>
      </c>
      <c r="L55">
        <v>1</v>
      </c>
      <c r="M55" t="s">
        <v>511</v>
      </c>
      <c r="N55" t="s">
        <v>8</v>
      </c>
      <c r="O55" t="s">
        <v>955</v>
      </c>
      <c r="P55">
        <v>341</v>
      </c>
      <c r="Q55">
        <v>3</v>
      </c>
      <c r="R55" t="s">
        <v>9</v>
      </c>
      <c r="S55" t="s">
        <v>8</v>
      </c>
      <c r="T55" t="s">
        <v>188</v>
      </c>
      <c r="U55" t="s">
        <v>84</v>
      </c>
      <c r="V55" t="s">
        <v>85</v>
      </c>
      <c r="W55">
        <v>0.8</v>
      </c>
      <c r="X55" t="s">
        <v>199</v>
      </c>
      <c r="Y55" t="s">
        <v>201</v>
      </c>
      <c r="Z55" t="s">
        <v>13</v>
      </c>
      <c r="AA55" t="s">
        <v>4</v>
      </c>
      <c r="AB55">
        <f xml:space="preserve"> COUNTIF(Fact[[#This Row],[Partner.Partner Driven]], "Yes") / COUNTA(Fact[Opportunity ID])</f>
        <v>0</v>
      </c>
      <c r="AC55">
        <f>IFERROR(INDEX(Fact[[#All],[Opportunity ID]],MATCH(X55,Fact[[#All],[salestage.Sales Stage]],0))/INDEX(Fact[[#All],[Opportunity ID]],MATCH(X54,Fact[[#All],[salestage.Sales Stage]],0)), "")</f>
        <v>27</v>
      </c>
    </row>
    <row r="56" spans="1:29" x14ac:dyDescent="0.3">
      <c r="A56" s="1">
        <v>42156.457638888889</v>
      </c>
      <c r="B56">
        <v>55</v>
      </c>
      <c r="C56">
        <v>2</v>
      </c>
      <c r="D56">
        <v>11</v>
      </c>
      <c r="E56">
        <v>22</v>
      </c>
      <c r="F56">
        <v>19</v>
      </c>
      <c r="G56">
        <v>2185792</v>
      </c>
      <c r="H56" s="5">
        <v>437158</v>
      </c>
      <c r="I56" s="1">
        <v>1</v>
      </c>
      <c r="J56">
        <v>457</v>
      </c>
      <c r="K56">
        <v>2015</v>
      </c>
      <c r="L56">
        <v>6</v>
      </c>
      <c r="M56" t="s">
        <v>70</v>
      </c>
      <c r="N56" t="s">
        <v>13</v>
      </c>
      <c r="O56" t="s">
        <v>956</v>
      </c>
      <c r="P56">
        <v>145</v>
      </c>
      <c r="Q56">
        <v>1</v>
      </c>
      <c r="R56" t="s">
        <v>138</v>
      </c>
      <c r="S56" t="s">
        <v>13</v>
      </c>
      <c r="T56" t="s">
        <v>188</v>
      </c>
      <c r="U56" t="s">
        <v>84</v>
      </c>
      <c r="V56" t="s">
        <v>85</v>
      </c>
      <c r="W56">
        <v>0.2</v>
      </c>
      <c r="X56" t="s">
        <v>196</v>
      </c>
      <c r="Y56" t="s">
        <v>18</v>
      </c>
      <c r="Z56" t="s">
        <v>13</v>
      </c>
      <c r="AA56" t="s">
        <v>4</v>
      </c>
      <c r="AB56">
        <f xml:space="preserve"> COUNTIF(Fact[[#This Row],[Partner.Partner Driven]], "Yes") / COUNTA(Fact[Opportunity ID])</f>
        <v>0</v>
      </c>
      <c r="AC56">
        <f>IFERROR(INDEX(Fact[[#All],[Opportunity ID]],MATCH(X56,Fact[[#All],[salestage.Sales Stage]],0))/INDEX(Fact[[#All],[Opportunity ID]],MATCH(X55,Fact[[#All],[salestage.Sales Stage]],0)), "")</f>
        <v>1.8518518518518517E-2</v>
      </c>
    </row>
    <row r="57" spans="1:29" x14ac:dyDescent="0.3">
      <c r="A57" s="1">
        <v>42139.603634259256</v>
      </c>
      <c r="B57">
        <v>56</v>
      </c>
      <c r="C57">
        <v>1</v>
      </c>
      <c r="D57">
        <v>51</v>
      </c>
      <c r="E57">
        <v>7</v>
      </c>
      <c r="F57">
        <v>16</v>
      </c>
      <c r="G57">
        <v>6231561</v>
      </c>
      <c r="H57" s="5">
        <v>623156</v>
      </c>
      <c r="I57" s="1">
        <v>15</v>
      </c>
      <c r="J57">
        <v>455</v>
      </c>
      <c r="K57">
        <v>2015</v>
      </c>
      <c r="L57">
        <v>5</v>
      </c>
      <c r="M57" t="s">
        <v>68</v>
      </c>
      <c r="N57" t="s">
        <v>3</v>
      </c>
      <c r="O57" t="s">
        <v>957</v>
      </c>
      <c r="P57">
        <v>354</v>
      </c>
      <c r="Q57">
        <v>3</v>
      </c>
      <c r="R57" t="s">
        <v>9</v>
      </c>
      <c r="S57" t="s">
        <v>3</v>
      </c>
      <c r="T57" t="s">
        <v>185</v>
      </c>
      <c r="U57" t="s">
        <v>102</v>
      </c>
      <c r="V57" t="s">
        <v>72</v>
      </c>
      <c r="W57">
        <v>0.1</v>
      </c>
      <c r="X57" t="s">
        <v>195</v>
      </c>
      <c r="Y57" t="s">
        <v>202</v>
      </c>
      <c r="Z57" t="s">
        <v>3</v>
      </c>
      <c r="AA57" t="s">
        <v>4</v>
      </c>
      <c r="AB57">
        <f xml:space="preserve"> COUNTIF(Fact[[#This Row],[Partner.Partner Driven]], "Yes") / COUNTA(Fact[Opportunity ID])</f>
        <v>2.05761316872428E-3</v>
      </c>
      <c r="AC57">
        <f>IFERROR(INDEX(Fact[[#All],[Opportunity ID]],MATCH(X57,Fact[[#All],[salestage.Sales Stage]],0))/INDEX(Fact[[#All],[Opportunity ID]],MATCH(X56,Fact[[#All],[salestage.Sales Stage]],0)), "")</f>
        <v>2</v>
      </c>
    </row>
    <row r="58" spans="1:29" x14ac:dyDescent="0.3">
      <c r="A58" s="1">
        <v>42170.457638888889</v>
      </c>
      <c r="B58">
        <v>57</v>
      </c>
      <c r="C58">
        <v>1</v>
      </c>
      <c r="D58">
        <v>49</v>
      </c>
      <c r="E58">
        <v>3</v>
      </c>
      <c r="F58">
        <v>6</v>
      </c>
      <c r="G58">
        <v>140400</v>
      </c>
      <c r="H58" s="5">
        <v>14040</v>
      </c>
      <c r="I58" s="1">
        <v>14</v>
      </c>
      <c r="J58">
        <v>366</v>
      </c>
      <c r="K58">
        <v>2015</v>
      </c>
      <c r="L58">
        <v>6</v>
      </c>
      <c r="M58" t="s">
        <v>70</v>
      </c>
      <c r="N58" t="s">
        <v>3</v>
      </c>
      <c r="O58" t="s">
        <v>958</v>
      </c>
      <c r="P58">
        <v>17</v>
      </c>
      <c r="Q58">
        <v>1</v>
      </c>
      <c r="R58" t="s">
        <v>138</v>
      </c>
      <c r="S58" t="s">
        <v>3</v>
      </c>
      <c r="T58" t="s">
        <v>175</v>
      </c>
      <c r="U58" t="s">
        <v>115</v>
      </c>
      <c r="V58" t="s">
        <v>72</v>
      </c>
      <c r="W58">
        <v>0.1</v>
      </c>
      <c r="X58" t="s">
        <v>195</v>
      </c>
      <c r="Y58" t="s">
        <v>200</v>
      </c>
      <c r="Z58" t="s">
        <v>3</v>
      </c>
      <c r="AA58" t="s">
        <v>9</v>
      </c>
      <c r="AB58">
        <f xml:space="preserve"> COUNTIF(Fact[[#This Row],[Partner.Partner Driven]], "Yes") / COUNTA(Fact[Opportunity ID])</f>
        <v>2.05761316872428E-3</v>
      </c>
      <c r="AC58">
        <f>IFERROR(INDEX(Fact[[#All],[Opportunity ID]],MATCH(X58,Fact[[#All],[salestage.Sales Stage]],0))/INDEX(Fact[[#All],[Opportunity ID]],MATCH(X57,Fact[[#All],[salestage.Sales Stage]],0)), "")</f>
        <v>1</v>
      </c>
    </row>
    <row r="59" spans="1:29" x14ac:dyDescent="0.3">
      <c r="A59" s="1">
        <v>42096.457638888889</v>
      </c>
      <c r="B59">
        <v>58</v>
      </c>
      <c r="C59">
        <v>1</v>
      </c>
      <c r="D59">
        <v>11</v>
      </c>
      <c r="E59">
        <v>8</v>
      </c>
      <c r="F59">
        <v>1</v>
      </c>
      <c r="G59">
        <v>3695412</v>
      </c>
      <c r="H59" s="5">
        <v>369541</v>
      </c>
      <c r="I59" s="1">
        <v>2</v>
      </c>
      <c r="J59">
        <v>365</v>
      </c>
      <c r="K59">
        <v>2015</v>
      </c>
      <c r="L59">
        <v>4</v>
      </c>
      <c r="M59" t="s">
        <v>510</v>
      </c>
      <c r="N59" t="s">
        <v>13</v>
      </c>
      <c r="O59" t="s">
        <v>959</v>
      </c>
      <c r="P59">
        <v>227</v>
      </c>
      <c r="Q59">
        <v>2</v>
      </c>
      <c r="R59" t="s">
        <v>143</v>
      </c>
      <c r="S59" t="s">
        <v>13</v>
      </c>
      <c r="T59" t="s">
        <v>170</v>
      </c>
      <c r="U59" t="s">
        <v>526</v>
      </c>
      <c r="V59" t="s">
        <v>72</v>
      </c>
      <c r="W59">
        <v>0.1</v>
      </c>
      <c r="X59" t="s">
        <v>195</v>
      </c>
      <c r="Y59" t="s">
        <v>18</v>
      </c>
      <c r="Z59" t="s">
        <v>13</v>
      </c>
      <c r="AA59" t="s">
        <v>4</v>
      </c>
      <c r="AB59">
        <f xml:space="preserve"> COUNTIF(Fact[[#This Row],[Partner.Partner Driven]], "Yes") / COUNTA(Fact[Opportunity ID])</f>
        <v>2.05761316872428E-3</v>
      </c>
      <c r="AC59">
        <f>IFERROR(INDEX(Fact[[#All],[Opportunity ID]],MATCH(X59,Fact[[#All],[salestage.Sales Stage]],0))/INDEX(Fact[[#All],[Opportunity ID]],MATCH(X58,Fact[[#All],[salestage.Sales Stage]],0)), "")</f>
        <v>1</v>
      </c>
    </row>
    <row r="60" spans="1:29" x14ac:dyDescent="0.3">
      <c r="A60" s="1">
        <v>42096.457638888889</v>
      </c>
      <c r="B60">
        <v>59</v>
      </c>
      <c r="C60">
        <v>2</v>
      </c>
      <c r="D60">
        <v>11</v>
      </c>
      <c r="E60">
        <v>8</v>
      </c>
      <c r="F60">
        <v>19</v>
      </c>
      <c r="G60">
        <v>2628350</v>
      </c>
      <c r="H60" s="5">
        <v>525670</v>
      </c>
      <c r="I60" s="1">
        <v>2</v>
      </c>
      <c r="J60">
        <v>424</v>
      </c>
      <c r="K60">
        <v>2015</v>
      </c>
      <c r="L60">
        <v>4</v>
      </c>
      <c r="M60" t="s">
        <v>510</v>
      </c>
      <c r="N60" t="s">
        <v>8</v>
      </c>
      <c r="O60" t="s">
        <v>960</v>
      </c>
      <c r="P60">
        <v>171</v>
      </c>
      <c r="Q60">
        <v>2</v>
      </c>
      <c r="R60" t="s">
        <v>143</v>
      </c>
      <c r="S60" t="s">
        <v>8</v>
      </c>
      <c r="T60" t="s">
        <v>188</v>
      </c>
      <c r="U60" t="s">
        <v>526</v>
      </c>
      <c r="V60" t="s">
        <v>72</v>
      </c>
      <c r="W60">
        <v>0.2</v>
      </c>
      <c r="X60" t="s">
        <v>196</v>
      </c>
      <c r="Y60" t="s">
        <v>18</v>
      </c>
      <c r="Z60" t="s">
        <v>13</v>
      </c>
      <c r="AA60" t="s">
        <v>4</v>
      </c>
      <c r="AB60">
        <f xml:space="preserve"> COUNTIF(Fact[[#This Row],[Partner.Partner Driven]], "Yes") / COUNTA(Fact[Opportunity ID])</f>
        <v>2.05761316872428E-3</v>
      </c>
      <c r="AC60">
        <f>IFERROR(INDEX(Fact[[#All],[Opportunity ID]],MATCH(X60,Fact[[#All],[salestage.Sales Stage]],0))/INDEX(Fact[[#All],[Opportunity ID]],MATCH(X59,Fact[[#All],[salestage.Sales Stage]],0)), "")</f>
        <v>0.5</v>
      </c>
    </row>
    <row r="61" spans="1:29" x14ac:dyDescent="0.3">
      <c r="A61" s="1">
        <v>42096.457638888889</v>
      </c>
      <c r="B61">
        <v>60</v>
      </c>
      <c r="C61">
        <v>1</v>
      </c>
      <c r="D61">
        <v>11</v>
      </c>
      <c r="E61">
        <v>8</v>
      </c>
      <c r="F61">
        <v>7</v>
      </c>
      <c r="G61">
        <v>1205633</v>
      </c>
      <c r="H61" s="5">
        <v>120563</v>
      </c>
      <c r="I61" s="1">
        <v>1</v>
      </c>
      <c r="J61">
        <v>366</v>
      </c>
      <c r="K61">
        <v>2015</v>
      </c>
      <c r="L61">
        <v>4</v>
      </c>
      <c r="M61" t="s">
        <v>510</v>
      </c>
      <c r="N61" t="s">
        <v>3</v>
      </c>
      <c r="O61" t="s">
        <v>962</v>
      </c>
      <c r="P61">
        <v>82</v>
      </c>
      <c r="Q61">
        <v>1</v>
      </c>
      <c r="R61" t="s">
        <v>138</v>
      </c>
      <c r="S61" t="s">
        <v>3</v>
      </c>
      <c r="T61" t="s">
        <v>176</v>
      </c>
      <c r="U61" t="s">
        <v>526</v>
      </c>
      <c r="V61" t="s">
        <v>72</v>
      </c>
      <c r="W61">
        <v>0.1</v>
      </c>
      <c r="X61" t="s">
        <v>195</v>
      </c>
      <c r="Y61" t="s">
        <v>18</v>
      </c>
      <c r="Z61" t="s">
        <v>13</v>
      </c>
      <c r="AA61" t="s">
        <v>4</v>
      </c>
      <c r="AB61">
        <f xml:space="preserve"> COUNTIF(Fact[[#This Row],[Partner.Partner Driven]], "Yes") / COUNTA(Fact[Opportunity ID])</f>
        <v>2.05761316872428E-3</v>
      </c>
      <c r="AC61">
        <f>IFERROR(INDEX(Fact[[#All],[Opportunity ID]],MATCH(X61,Fact[[#All],[salestage.Sales Stage]],0))/INDEX(Fact[[#All],[Opportunity ID]],MATCH(X60,Fact[[#All],[salestage.Sales Stage]],0)), "")</f>
        <v>2</v>
      </c>
    </row>
    <row r="62" spans="1:29" x14ac:dyDescent="0.3">
      <c r="A62" s="1">
        <v>42369.457638888889</v>
      </c>
      <c r="B62">
        <v>61</v>
      </c>
      <c r="C62">
        <v>1</v>
      </c>
      <c r="D62">
        <v>52</v>
      </c>
      <c r="E62">
        <v>24</v>
      </c>
      <c r="F62">
        <v>2</v>
      </c>
      <c r="G62">
        <v>8326736</v>
      </c>
      <c r="H62" s="5">
        <v>832674</v>
      </c>
      <c r="I62" s="1">
        <v>18</v>
      </c>
      <c r="J62">
        <v>378</v>
      </c>
      <c r="K62">
        <v>2015</v>
      </c>
      <c r="L62">
        <v>12</v>
      </c>
      <c r="M62" t="s">
        <v>508</v>
      </c>
      <c r="N62" t="s">
        <v>13</v>
      </c>
      <c r="O62" t="s">
        <v>963</v>
      </c>
      <c r="P62">
        <v>423</v>
      </c>
      <c r="Q62">
        <v>3</v>
      </c>
      <c r="R62" t="s">
        <v>9</v>
      </c>
      <c r="S62" t="s">
        <v>13</v>
      </c>
      <c r="T62" t="s">
        <v>171</v>
      </c>
      <c r="U62" t="s">
        <v>518</v>
      </c>
      <c r="V62" t="s">
        <v>72</v>
      </c>
      <c r="W62">
        <v>0.1</v>
      </c>
      <c r="X62" t="s">
        <v>195</v>
      </c>
      <c r="Y62" t="s">
        <v>203</v>
      </c>
      <c r="Z62" t="s">
        <v>3</v>
      </c>
      <c r="AA62" t="s">
        <v>4</v>
      </c>
      <c r="AB62">
        <f xml:space="preserve"> COUNTIF(Fact[[#This Row],[Partner.Partner Driven]], "Yes") / COUNTA(Fact[Opportunity ID])</f>
        <v>2.05761316872428E-3</v>
      </c>
      <c r="AC62">
        <f>IFERROR(INDEX(Fact[[#All],[Opportunity ID]],MATCH(X62,Fact[[#All],[salestage.Sales Stage]],0))/INDEX(Fact[[#All],[Opportunity ID]],MATCH(X61,Fact[[#All],[salestage.Sales Stage]],0)), "")</f>
        <v>1</v>
      </c>
    </row>
    <row r="63" spans="1:29" x14ac:dyDescent="0.3">
      <c r="A63" s="1">
        <v>42062.457638888889</v>
      </c>
      <c r="B63">
        <v>62</v>
      </c>
      <c r="C63">
        <v>3</v>
      </c>
      <c r="D63">
        <v>53</v>
      </c>
      <c r="E63">
        <v>8</v>
      </c>
      <c r="F63">
        <v>12</v>
      </c>
      <c r="G63">
        <v>7186824</v>
      </c>
      <c r="H63" s="5">
        <v>2874730</v>
      </c>
      <c r="I63" s="1">
        <v>27</v>
      </c>
      <c r="J63">
        <v>396</v>
      </c>
      <c r="K63">
        <v>2015</v>
      </c>
      <c r="L63">
        <v>2</v>
      </c>
      <c r="M63" t="s">
        <v>509</v>
      </c>
      <c r="N63" t="s">
        <v>13</v>
      </c>
      <c r="O63" t="s">
        <v>964</v>
      </c>
      <c r="P63">
        <v>390</v>
      </c>
      <c r="Q63">
        <v>3</v>
      </c>
      <c r="R63" t="s">
        <v>9</v>
      </c>
      <c r="S63" t="s">
        <v>13</v>
      </c>
      <c r="T63" t="s">
        <v>181</v>
      </c>
      <c r="U63" t="s">
        <v>526</v>
      </c>
      <c r="V63" t="s">
        <v>72</v>
      </c>
      <c r="W63">
        <v>0.4</v>
      </c>
      <c r="X63" t="s">
        <v>197</v>
      </c>
      <c r="Y63" t="s">
        <v>204</v>
      </c>
      <c r="Z63" t="s">
        <v>13</v>
      </c>
      <c r="AA63" t="s">
        <v>4</v>
      </c>
      <c r="AB63">
        <f xml:space="preserve"> COUNTIF(Fact[[#This Row],[Partner.Partner Driven]], "Yes") / COUNTA(Fact[Opportunity ID])</f>
        <v>2.05761316872428E-3</v>
      </c>
      <c r="AC63">
        <f>IFERROR(INDEX(Fact[[#All],[Opportunity ID]],MATCH(X63,Fact[[#All],[salestage.Sales Stage]],0))/INDEX(Fact[[#All],[Opportunity ID]],MATCH(X62,Fact[[#All],[salestage.Sales Stage]],0)), "")</f>
        <v>4.5</v>
      </c>
    </row>
    <row r="64" spans="1:29" x14ac:dyDescent="0.3">
      <c r="A64" s="1">
        <v>42094.457638888889</v>
      </c>
      <c r="B64">
        <v>63</v>
      </c>
      <c r="C64">
        <v>3</v>
      </c>
      <c r="D64">
        <v>54</v>
      </c>
      <c r="E64">
        <v>22</v>
      </c>
      <c r="F64">
        <v>25</v>
      </c>
      <c r="G64">
        <v>5242291</v>
      </c>
      <c r="H64" s="5">
        <v>2096916</v>
      </c>
      <c r="I64" s="1">
        <v>24</v>
      </c>
      <c r="J64">
        <v>431</v>
      </c>
      <c r="K64">
        <v>2015</v>
      </c>
      <c r="L64">
        <v>3</v>
      </c>
      <c r="M64" t="s">
        <v>512</v>
      </c>
      <c r="N64" t="s">
        <v>13</v>
      </c>
      <c r="O64" t="s">
        <v>965</v>
      </c>
      <c r="P64">
        <v>306</v>
      </c>
      <c r="Q64">
        <v>2</v>
      </c>
      <c r="R64" t="s">
        <v>143</v>
      </c>
      <c r="S64" t="s">
        <v>13</v>
      </c>
      <c r="T64" t="s">
        <v>194</v>
      </c>
      <c r="U64" t="s">
        <v>84</v>
      </c>
      <c r="V64" t="s">
        <v>85</v>
      </c>
      <c r="W64">
        <v>0.4</v>
      </c>
      <c r="X64" t="s">
        <v>197</v>
      </c>
      <c r="Y64" t="s">
        <v>205</v>
      </c>
      <c r="Z64" t="s">
        <v>3</v>
      </c>
      <c r="AA64" t="s">
        <v>9</v>
      </c>
      <c r="AB64">
        <f xml:space="preserve"> COUNTIF(Fact[[#This Row],[Partner.Partner Driven]], "Yes") / COUNTA(Fact[Opportunity ID])</f>
        <v>0</v>
      </c>
      <c r="AC64">
        <f>IFERROR(INDEX(Fact[[#All],[Opportunity ID]],MATCH(X64,Fact[[#All],[salestage.Sales Stage]],0))/INDEX(Fact[[#All],[Opportunity ID]],MATCH(X63,Fact[[#All],[salestage.Sales Stage]],0)), "")</f>
        <v>1</v>
      </c>
    </row>
    <row r="65" spans="1:29" x14ac:dyDescent="0.3">
      <c r="A65" s="1">
        <v>42185.457638888889</v>
      </c>
      <c r="B65">
        <v>64</v>
      </c>
      <c r="C65">
        <v>1</v>
      </c>
      <c r="D65">
        <v>55</v>
      </c>
      <c r="E65">
        <v>22</v>
      </c>
      <c r="F65">
        <v>22</v>
      </c>
      <c r="G65">
        <v>5688641</v>
      </c>
      <c r="H65" s="5">
        <v>568864</v>
      </c>
      <c r="I65" s="1">
        <v>11</v>
      </c>
      <c r="J65">
        <v>415</v>
      </c>
      <c r="K65">
        <v>2015</v>
      </c>
      <c r="L65">
        <v>6</v>
      </c>
      <c r="M65" t="s">
        <v>70</v>
      </c>
      <c r="N65" t="s">
        <v>13</v>
      </c>
      <c r="O65" t="s">
        <v>966</v>
      </c>
      <c r="P65">
        <v>329</v>
      </c>
      <c r="Q65">
        <v>3</v>
      </c>
      <c r="R65" t="s">
        <v>9</v>
      </c>
      <c r="S65" t="s">
        <v>13</v>
      </c>
      <c r="T65" t="s">
        <v>191</v>
      </c>
      <c r="U65" t="s">
        <v>84</v>
      </c>
      <c r="V65" t="s">
        <v>85</v>
      </c>
      <c r="W65">
        <v>0.1</v>
      </c>
      <c r="X65" t="s">
        <v>195</v>
      </c>
      <c r="Y65" t="s">
        <v>206</v>
      </c>
      <c r="Z65" t="s">
        <v>3</v>
      </c>
      <c r="AA65" t="s">
        <v>4</v>
      </c>
      <c r="AB65">
        <f xml:space="preserve"> COUNTIF(Fact[[#This Row],[Partner.Partner Driven]], "Yes") / COUNTA(Fact[Opportunity ID])</f>
        <v>0</v>
      </c>
      <c r="AC65">
        <f>IFERROR(INDEX(Fact[[#All],[Opportunity ID]],MATCH(X65,Fact[[#All],[salestage.Sales Stage]],0))/INDEX(Fact[[#All],[Opportunity ID]],MATCH(X64,Fact[[#All],[salestage.Sales Stage]],0)), "")</f>
        <v>0.22222222222222221</v>
      </c>
    </row>
    <row r="66" spans="1:29" x14ac:dyDescent="0.3">
      <c r="A66" s="1">
        <v>42338.457638888889</v>
      </c>
      <c r="B66">
        <v>65</v>
      </c>
      <c r="C66">
        <v>1</v>
      </c>
      <c r="D66">
        <v>56</v>
      </c>
      <c r="E66">
        <v>22</v>
      </c>
      <c r="F66">
        <v>10</v>
      </c>
      <c r="G66">
        <v>4517628</v>
      </c>
      <c r="H66" s="5">
        <v>451763</v>
      </c>
      <c r="I66" s="1">
        <v>11</v>
      </c>
      <c r="J66">
        <v>568</v>
      </c>
      <c r="K66">
        <v>2015</v>
      </c>
      <c r="L66">
        <v>11</v>
      </c>
      <c r="M66" t="s">
        <v>506</v>
      </c>
      <c r="N66" t="s">
        <v>13</v>
      </c>
      <c r="O66" t="s">
        <v>967</v>
      </c>
      <c r="P66">
        <v>269</v>
      </c>
      <c r="Q66">
        <v>2</v>
      </c>
      <c r="R66" t="s">
        <v>143</v>
      </c>
      <c r="S66" t="s">
        <v>13</v>
      </c>
      <c r="T66" t="s">
        <v>179</v>
      </c>
      <c r="U66" t="s">
        <v>84</v>
      </c>
      <c r="V66" t="s">
        <v>85</v>
      </c>
      <c r="W66">
        <v>0.1</v>
      </c>
      <c r="X66" t="s">
        <v>195</v>
      </c>
      <c r="Y66" t="s">
        <v>207</v>
      </c>
      <c r="Z66" t="s">
        <v>8</v>
      </c>
      <c r="AA66" t="s">
        <v>6</v>
      </c>
      <c r="AB66">
        <f xml:space="preserve"> COUNTIF(Fact[[#This Row],[Partner.Partner Driven]], "Yes") / COUNTA(Fact[Opportunity ID])</f>
        <v>0</v>
      </c>
      <c r="AC66">
        <f>IFERROR(INDEX(Fact[[#All],[Opportunity ID]],MATCH(X66,Fact[[#All],[salestage.Sales Stage]],0))/INDEX(Fact[[#All],[Opportunity ID]],MATCH(X65,Fact[[#All],[salestage.Sales Stage]],0)), "")</f>
        <v>1</v>
      </c>
    </row>
    <row r="67" spans="1:29" x14ac:dyDescent="0.3">
      <c r="A67" s="1">
        <v>42369.457638888889</v>
      </c>
      <c r="B67">
        <v>66</v>
      </c>
      <c r="C67">
        <v>1</v>
      </c>
      <c r="D67">
        <v>57</v>
      </c>
      <c r="E67">
        <v>22</v>
      </c>
      <c r="F67">
        <v>21</v>
      </c>
      <c r="G67">
        <v>2847321</v>
      </c>
      <c r="H67" s="5">
        <v>284732</v>
      </c>
      <c r="I67" s="1">
        <v>25</v>
      </c>
      <c r="J67">
        <v>554</v>
      </c>
      <c r="K67">
        <v>2015</v>
      </c>
      <c r="L67">
        <v>12</v>
      </c>
      <c r="M67" t="s">
        <v>508</v>
      </c>
      <c r="N67" t="s">
        <v>13</v>
      </c>
      <c r="O67" t="s">
        <v>968</v>
      </c>
      <c r="P67">
        <v>182</v>
      </c>
      <c r="Q67">
        <v>2</v>
      </c>
      <c r="R67" t="s">
        <v>143</v>
      </c>
      <c r="S67" t="s">
        <v>13</v>
      </c>
      <c r="T67" t="s">
        <v>190</v>
      </c>
      <c r="U67" t="s">
        <v>84</v>
      </c>
      <c r="V67" t="s">
        <v>85</v>
      </c>
      <c r="W67">
        <v>0.1</v>
      </c>
      <c r="X67" t="s">
        <v>195</v>
      </c>
      <c r="Y67" t="s">
        <v>208</v>
      </c>
      <c r="Z67" t="s">
        <v>3</v>
      </c>
      <c r="AA67" t="s">
        <v>9</v>
      </c>
      <c r="AB67">
        <f xml:space="preserve"> COUNTIF(Fact[[#This Row],[Partner.Partner Driven]], "Yes") / COUNTA(Fact[Opportunity ID])</f>
        <v>0</v>
      </c>
      <c r="AC67">
        <f>IFERROR(INDEX(Fact[[#All],[Opportunity ID]],MATCH(X67,Fact[[#All],[salestage.Sales Stage]],0))/INDEX(Fact[[#All],[Opportunity ID]],MATCH(X66,Fact[[#All],[salestage.Sales Stage]],0)), "")</f>
        <v>1</v>
      </c>
    </row>
    <row r="68" spans="1:29" x14ac:dyDescent="0.3">
      <c r="A68" s="1">
        <v>42062.457638888889</v>
      </c>
      <c r="B68">
        <v>67</v>
      </c>
      <c r="C68">
        <v>5</v>
      </c>
      <c r="D68">
        <v>58</v>
      </c>
      <c r="E68">
        <v>22</v>
      </c>
      <c r="F68">
        <v>17</v>
      </c>
      <c r="G68">
        <v>1693585</v>
      </c>
      <c r="H68" s="5">
        <v>1354868</v>
      </c>
      <c r="I68" s="1">
        <v>21</v>
      </c>
      <c r="J68">
        <v>371</v>
      </c>
      <c r="K68">
        <v>2015</v>
      </c>
      <c r="L68">
        <v>2</v>
      </c>
      <c r="M68" t="s">
        <v>509</v>
      </c>
      <c r="N68" t="s">
        <v>8</v>
      </c>
      <c r="O68" t="s">
        <v>969</v>
      </c>
      <c r="P68">
        <v>113</v>
      </c>
      <c r="Q68">
        <v>1</v>
      </c>
      <c r="R68" t="s">
        <v>138</v>
      </c>
      <c r="S68" t="s">
        <v>8</v>
      </c>
      <c r="T68" t="s">
        <v>186</v>
      </c>
      <c r="U68" t="s">
        <v>84</v>
      </c>
      <c r="V68" t="s">
        <v>85</v>
      </c>
      <c r="W68">
        <v>0.8</v>
      </c>
      <c r="X68" t="s">
        <v>199</v>
      </c>
      <c r="Y68" t="s">
        <v>209</v>
      </c>
      <c r="Z68" t="s">
        <v>13</v>
      </c>
      <c r="AA68" t="s">
        <v>4</v>
      </c>
      <c r="AB68">
        <f xml:space="preserve"> COUNTIF(Fact[[#This Row],[Partner.Partner Driven]], "Yes") / COUNTA(Fact[Opportunity ID])</f>
        <v>0</v>
      </c>
      <c r="AC68">
        <f>IFERROR(INDEX(Fact[[#All],[Opportunity ID]],MATCH(X68,Fact[[#All],[salestage.Sales Stage]],0))/INDEX(Fact[[#All],[Opportunity ID]],MATCH(X67,Fact[[#All],[salestage.Sales Stage]],0)), "")</f>
        <v>27</v>
      </c>
    </row>
    <row r="69" spans="1:29" x14ac:dyDescent="0.3">
      <c r="A69" s="1">
        <v>42037.457638888889</v>
      </c>
      <c r="B69">
        <v>68</v>
      </c>
      <c r="C69">
        <v>4</v>
      </c>
      <c r="D69">
        <v>23</v>
      </c>
      <c r="E69">
        <v>22</v>
      </c>
      <c r="F69">
        <v>11</v>
      </c>
      <c r="G69">
        <v>1139244</v>
      </c>
      <c r="H69" s="5">
        <v>683546</v>
      </c>
      <c r="I69" s="1">
        <v>2</v>
      </c>
      <c r="J69">
        <v>396</v>
      </c>
      <c r="K69">
        <v>2015</v>
      </c>
      <c r="L69">
        <v>2</v>
      </c>
      <c r="M69" t="s">
        <v>509</v>
      </c>
      <c r="N69" t="s">
        <v>3</v>
      </c>
      <c r="O69" t="s">
        <v>970</v>
      </c>
      <c r="P69">
        <v>80</v>
      </c>
      <c r="Q69">
        <v>1</v>
      </c>
      <c r="R69" t="s">
        <v>138</v>
      </c>
      <c r="S69" t="s">
        <v>3</v>
      </c>
      <c r="T69" t="s">
        <v>180</v>
      </c>
      <c r="U69" t="s">
        <v>84</v>
      </c>
      <c r="V69" t="s">
        <v>85</v>
      </c>
      <c r="W69">
        <v>0.6</v>
      </c>
      <c r="X69" t="s">
        <v>198</v>
      </c>
      <c r="Y69" t="s">
        <v>30</v>
      </c>
      <c r="Z69" t="s">
        <v>8</v>
      </c>
      <c r="AA69" t="s">
        <v>9</v>
      </c>
      <c r="AB69">
        <f xml:space="preserve"> COUNTIF(Fact[[#This Row],[Partner.Partner Driven]], "Yes") / COUNTA(Fact[Opportunity ID])</f>
        <v>0</v>
      </c>
      <c r="AC69">
        <f>IFERROR(INDEX(Fact[[#All],[Opportunity ID]],MATCH(X69,Fact[[#All],[salestage.Sales Stage]],0))/INDEX(Fact[[#All],[Opportunity ID]],MATCH(X68,Fact[[#All],[salestage.Sales Stage]],0)), "")</f>
        <v>0.51851851851851849</v>
      </c>
    </row>
    <row r="70" spans="1:29" x14ac:dyDescent="0.3">
      <c r="A70" s="1">
        <v>42369.457638888889</v>
      </c>
      <c r="B70">
        <v>69</v>
      </c>
      <c r="C70">
        <v>1</v>
      </c>
      <c r="D70">
        <v>11</v>
      </c>
      <c r="E70">
        <v>22</v>
      </c>
      <c r="F70">
        <v>25</v>
      </c>
      <c r="G70">
        <v>6668135</v>
      </c>
      <c r="H70" s="5">
        <v>666814</v>
      </c>
      <c r="I70" s="1">
        <v>8</v>
      </c>
      <c r="J70">
        <v>602</v>
      </c>
      <c r="K70">
        <v>2015</v>
      </c>
      <c r="L70">
        <v>12</v>
      </c>
      <c r="M70" t="s">
        <v>508</v>
      </c>
      <c r="N70" t="s">
        <v>13</v>
      </c>
      <c r="O70" t="s">
        <v>971</v>
      </c>
      <c r="P70">
        <v>372</v>
      </c>
      <c r="Q70">
        <v>3</v>
      </c>
      <c r="R70" t="s">
        <v>9</v>
      </c>
      <c r="S70" t="s">
        <v>13</v>
      </c>
      <c r="T70" t="s">
        <v>194</v>
      </c>
      <c r="U70" t="s">
        <v>84</v>
      </c>
      <c r="V70" t="s">
        <v>85</v>
      </c>
      <c r="W70">
        <v>0.1</v>
      </c>
      <c r="X70" t="s">
        <v>195</v>
      </c>
      <c r="Y70" t="s">
        <v>18</v>
      </c>
      <c r="Z70" t="s">
        <v>13</v>
      </c>
      <c r="AA70" t="s">
        <v>4</v>
      </c>
      <c r="AB70">
        <f xml:space="preserve"> COUNTIF(Fact[[#This Row],[Partner.Partner Driven]], "Yes") / COUNTA(Fact[Opportunity ID])</f>
        <v>0</v>
      </c>
      <c r="AC70">
        <f>IFERROR(INDEX(Fact[[#All],[Opportunity ID]],MATCH(X70,Fact[[#All],[salestage.Sales Stage]],0))/INDEX(Fact[[#All],[Opportunity ID]],MATCH(X69,Fact[[#All],[salestage.Sales Stage]],0)), "")</f>
        <v>7.1428571428571425E-2</v>
      </c>
    </row>
    <row r="71" spans="1:29" x14ac:dyDescent="0.3">
      <c r="A71" s="1">
        <v>42156.457638888889</v>
      </c>
      <c r="B71">
        <v>70</v>
      </c>
      <c r="C71">
        <v>2</v>
      </c>
      <c r="D71">
        <v>11</v>
      </c>
      <c r="E71">
        <v>22</v>
      </c>
      <c r="F71">
        <v>6</v>
      </c>
      <c r="G71">
        <v>2707103</v>
      </c>
      <c r="H71" s="5">
        <v>541421</v>
      </c>
      <c r="I71" s="1">
        <v>1</v>
      </c>
      <c r="J71">
        <v>396</v>
      </c>
      <c r="K71">
        <v>2015</v>
      </c>
      <c r="L71">
        <v>6</v>
      </c>
      <c r="M71" t="s">
        <v>70</v>
      </c>
      <c r="N71" t="s">
        <v>3</v>
      </c>
      <c r="O71" t="s">
        <v>973</v>
      </c>
      <c r="P71">
        <v>179</v>
      </c>
      <c r="Q71">
        <v>2</v>
      </c>
      <c r="R71" t="s">
        <v>143</v>
      </c>
      <c r="S71" t="s">
        <v>3</v>
      </c>
      <c r="T71" t="s">
        <v>175</v>
      </c>
      <c r="U71" t="s">
        <v>84</v>
      </c>
      <c r="V71" t="s">
        <v>85</v>
      </c>
      <c r="W71">
        <v>0.2</v>
      </c>
      <c r="X71" t="s">
        <v>196</v>
      </c>
      <c r="Y71" t="s">
        <v>18</v>
      </c>
      <c r="Z71" t="s">
        <v>13</v>
      </c>
      <c r="AA71" t="s">
        <v>4</v>
      </c>
      <c r="AB71">
        <f xml:space="preserve"> COUNTIF(Fact[[#This Row],[Partner.Partner Driven]], "Yes") / COUNTA(Fact[Opportunity ID])</f>
        <v>0</v>
      </c>
      <c r="AC71">
        <f>IFERROR(INDEX(Fact[[#All],[Opportunity ID]],MATCH(X71,Fact[[#All],[salestage.Sales Stage]],0))/INDEX(Fact[[#All],[Opportunity ID]],MATCH(X70,Fact[[#All],[salestage.Sales Stage]],0)), "")</f>
        <v>0.5</v>
      </c>
    </row>
    <row r="72" spans="1:29" x14ac:dyDescent="0.3">
      <c r="A72" s="1">
        <v>42034.457638888889</v>
      </c>
      <c r="B72">
        <v>71</v>
      </c>
      <c r="C72">
        <v>3</v>
      </c>
      <c r="D72">
        <v>59</v>
      </c>
      <c r="E72">
        <v>8</v>
      </c>
      <c r="F72">
        <v>22</v>
      </c>
      <c r="G72">
        <v>8753459</v>
      </c>
      <c r="H72" s="5">
        <v>3501384</v>
      </c>
      <c r="I72" s="1">
        <v>4</v>
      </c>
      <c r="J72">
        <v>391</v>
      </c>
      <c r="K72">
        <v>2015</v>
      </c>
      <c r="L72">
        <v>1</v>
      </c>
      <c r="M72" t="s">
        <v>511</v>
      </c>
      <c r="N72" t="s">
        <v>8</v>
      </c>
      <c r="O72" t="s">
        <v>974</v>
      </c>
      <c r="P72">
        <v>433</v>
      </c>
      <c r="Q72">
        <v>3</v>
      </c>
      <c r="R72" t="s">
        <v>9</v>
      </c>
      <c r="S72" t="s">
        <v>8</v>
      </c>
      <c r="T72" t="s">
        <v>191</v>
      </c>
      <c r="U72" t="s">
        <v>526</v>
      </c>
      <c r="V72" t="s">
        <v>72</v>
      </c>
      <c r="W72">
        <v>0.4</v>
      </c>
      <c r="X72" t="s">
        <v>197</v>
      </c>
      <c r="Y72" t="s">
        <v>210</v>
      </c>
      <c r="Z72" t="s">
        <v>3</v>
      </c>
      <c r="AA72" t="s">
        <v>9</v>
      </c>
      <c r="AB72">
        <f xml:space="preserve"> COUNTIF(Fact[[#This Row],[Partner.Partner Driven]], "Yes") / COUNTA(Fact[Opportunity ID])</f>
        <v>2.05761316872428E-3</v>
      </c>
      <c r="AC72">
        <f>IFERROR(INDEX(Fact[[#All],[Opportunity ID]],MATCH(X72,Fact[[#All],[salestage.Sales Stage]],0))/INDEX(Fact[[#All],[Opportunity ID]],MATCH(X71,Fact[[#All],[salestage.Sales Stage]],0)), "")</f>
        <v>9</v>
      </c>
    </row>
    <row r="73" spans="1:29" x14ac:dyDescent="0.3">
      <c r="A73" s="1">
        <v>42082.457638888889</v>
      </c>
      <c r="B73">
        <v>72</v>
      </c>
      <c r="C73">
        <v>4</v>
      </c>
      <c r="D73">
        <v>60</v>
      </c>
      <c r="E73">
        <v>22</v>
      </c>
      <c r="F73">
        <v>15</v>
      </c>
      <c r="G73">
        <v>1856861</v>
      </c>
      <c r="H73" s="5">
        <v>1114117</v>
      </c>
      <c r="I73" s="1">
        <v>11</v>
      </c>
      <c r="J73">
        <v>373</v>
      </c>
      <c r="K73">
        <v>2015</v>
      </c>
      <c r="L73">
        <v>3</v>
      </c>
      <c r="M73" t="s">
        <v>512</v>
      </c>
      <c r="N73" t="s">
        <v>13</v>
      </c>
      <c r="O73" t="s">
        <v>975</v>
      </c>
      <c r="P73">
        <v>125</v>
      </c>
      <c r="Q73">
        <v>1</v>
      </c>
      <c r="R73" t="s">
        <v>138</v>
      </c>
      <c r="S73" t="s">
        <v>13</v>
      </c>
      <c r="T73" t="s">
        <v>184</v>
      </c>
      <c r="U73" t="s">
        <v>84</v>
      </c>
      <c r="V73" t="s">
        <v>85</v>
      </c>
      <c r="W73">
        <v>0.6</v>
      </c>
      <c r="X73" t="s">
        <v>198</v>
      </c>
      <c r="Y73" t="s">
        <v>211</v>
      </c>
      <c r="Z73" t="s">
        <v>3</v>
      </c>
      <c r="AA73" t="s">
        <v>9</v>
      </c>
      <c r="AB73">
        <f xml:space="preserve"> COUNTIF(Fact[[#This Row],[Partner.Partner Driven]], "Yes") / COUNTA(Fact[Opportunity ID])</f>
        <v>0</v>
      </c>
      <c r="AC73">
        <f>IFERROR(INDEX(Fact[[#All],[Opportunity ID]],MATCH(X73,Fact[[#All],[salestage.Sales Stage]],0))/INDEX(Fact[[#All],[Opportunity ID]],MATCH(X72,Fact[[#All],[salestage.Sales Stage]],0)), "")</f>
        <v>3.1111111111111112</v>
      </c>
    </row>
    <row r="74" spans="1:29" x14ac:dyDescent="0.3">
      <c r="A74" s="1">
        <v>42053.457638888889</v>
      </c>
      <c r="B74">
        <v>73</v>
      </c>
      <c r="C74">
        <v>5</v>
      </c>
      <c r="D74">
        <v>61</v>
      </c>
      <c r="E74">
        <v>22</v>
      </c>
      <c r="F74">
        <v>6</v>
      </c>
      <c r="G74">
        <v>1788307</v>
      </c>
      <c r="H74" s="5">
        <v>1430646</v>
      </c>
      <c r="I74" s="1">
        <v>13</v>
      </c>
      <c r="J74">
        <v>401</v>
      </c>
      <c r="K74">
        <v>2015</v>
      </c>
      <c r="L74">
        <v>2</v>
      </c>
      <c r="M74" t="s">
        <v>509</v>
      </c>
      <c r="N74" t="s">
        <v>3</v>
      </c>
      <c r="O74" t="s">
        <v>976</v>
      </c>
      <c r="P74">
        <v>121</v>
      </c>
      <c r="Q74">
        <v>1</v>
      </c>
      <c r="R74" t="s">
        <v>138</v>
      </c>
      <c r="S74" t="s">
        <v>3</v>
      </c>
      <c r="T74" t="s">
        <v>175</v>
      </c>
      <c r="U74" t="s">
        <v>84</v>
      </c>
      <c r="V74" t="s">
        <v>85</v>
      </c>
      <c r="W74">
        <v>0.8</v>
      </c>
      <c r="X74" t="s">
        <v>199</v>
      </c>
      <c r="Y74" t="s">
        <v>212</v>
      </c>
      <c r="Z74" t="s">
        <v>3</v>
      </c>
      <c r="AA74" t="s">
        <v>9</v>
      </c>
      <c r="AB74">
        <f xml:space="preserve"> COUNTIF(Fact[[#This Row],[Partner.Partner Driven]], "Yes") / COUNTA(Fact[Opportunity ID])</f>
        <v>0</v>
      </c>
      <c r="AC74">
        <f>IFERROR(INDEX(Fact[[#All],[Opportunity ID]],MATCH(X74,Fact[[#All],[salestage.Sales Stage]],0))/INDEX(Fact[[#All],[Opportunity ID]],MATCH(X73,Fact[[#All],[salestage.Sales Stage]],0)), "")</f>
        <v>1.9285714285714286</v>
      </c>
    </row>
    <row r="75" spans="1:29" x14ac:dyDescent="0.3">
      <c r="A75" s="1">
        <v>42338.457638888889</v>
      </c>
      <c r="B75">
        <v>74</v>
      </c>
      <c r="C75">
        <v>1</v>
      </c>
      <c r="D75">
        <v>62</v>
      </c>
      <c r="E75">
        <v>22</v>
      </c>
      <c r="F75">
        <v>9</v>
      </c>
      <c r="G75">
        <v>2558630</v>
      </c>
      <c r="H75" s="5">
        <v>255863</v>
      </c>
      <c r="I75" s="1">
        <v>28</v>
      </c>
      <c r="J75">
        <v>367</v>
      </c>
      <c r="K75">
        <v>2015</v>
      </c>
      <c r="L75">
        <v>11</v>
      </c>
      <c r="M75" t="s">
        <v>506</v>
      </c>
      <c r="N75" t="s">
        <v>13</v>
      </c>
      <c r="O75" t="s">
        <v>977</v>
      </c>
      <c r="P75">
        <v>167</v>
      </c>
      <c r="Q75">
        <v>2</v>
      </c>
      <c r="R75" t="s">
        <v>143</v>
      </c>
      <c r="S75" t="s">
        <v>13</v>
      </c>
      <c r="T75" t="s">
        <v>178</v>
      </c>
      <c r="U75" t="s">
        <v>84</v>
      </c>
      <c r="V75" t="s">
        <v>85</v>
      </c>
      <c r="W75">
        <v>0.1</v>
      </c>
      <c r="X75" t="s">
        <v>195</v>
      </c>
      <c r="Y75" t="s">
        <v>213</v>
      </c>
      <c r="Z75" t="s">
        <v>3</v>
      </c>
      <c r="AA75" t="s">
        <v>4</v>
      </c>
      <c r="AB75">
        <f xml:space="preserve"> COUNTIF(Fact[[#This Row],[Partner.Partner Driven]], "Yes") / COUNTA(Fact[Opportunity ID])</f>
        <v>0</v>
      </c>
      <c r="AC75">
        <f>IFERROR(INDEX(Fact[[#All],[Opportunity ID]],MATCH(X75,Fact[[#All],[salestage.Sales Stage]],0))/INDEX(Fact[[#All],[Opportunity ID]],MATCH(X74,Fact[[#All],[salestage.Sales Stage]],0)), "")</f>
        <v>3.7037037037037035E-2</v>
      </c>
    </row>
    <row r="76" spans="1:29" x14ac:dyDescent="0.3">
      <c r="A76" s="1">
        <v>42369.457638888889</v>
      </c>
      <c r="B76">
        <v>75</v>
      </c>
      <c r="C76">
        <v>1</v>
      </c>
      <c r="D76">
        <v>63</v>
      </c>
      <c r="E76">
        <v>28</v>
      </c>
      <c r="F76">
        <v>5</v>
      </c>
      <c r="G76">
        <v>6157545</v>
      </c>
      <c r="H76" s="5">
        <v>615755</v>
      </c>
      <c r="I76" s="1">
        <v>22</v>
      </c>
      <c r="J76">
        <v>588</v>
      </c>
      <c r="K76">
        <v>2015</v>
      </c>
      <c r="L76">
        <v>12</v>
      </c>
      <c r="M76" t="s">
        <v>508</v>
      </c>
      <c r="N76" t="s">
        <v>3</v>
      </c>
      <c r="O76" t="s">
        <v>978</v>
      </c>
      <c r="P76">
        <v>349</v>
      </c>
      <c r="Q76">
        <v>3</v>
      </c>
      <c r="R76" t="s">
        <v>9</v>
      </c>
      <c r="S76" t="s">
        <v>3</v>
      </c>
      <c r="T76" t="s">
        <v>174</v>
      </c>
      <c r="U76" t="s">
        <v>546</v>
      </c>
      <c r="V76" t="s">
        <v>72</v>
      </c>
      <c r="W76">
        <v>0.1</v>
      </c>
      <c r="X76" t="s">
        <v>195</v>
      </c>
      <c r="Y76" t="s">
        <v>214</v>
      </c>
      <c r="Z76" t="s">
        <v>3</v>
      </c>
      <c r="AA76" t="s">
        <v>4</v>
      </c>
      <c r="AB76">
        <f xml:space="preserve"> COUNTIF(Fact[[#This Row],[Partner.Partner Driven]], "Yes") / COUNTA(Fact[Opportunity ID])</f>
        <v>2.05761316872428E-3</v>
      </c>
      <c r="AC76">
        <f>IFERROR(INDEX(Fact[[#All],[Opportunity ID]],MATCH(X76,Fact[[#All],[salestage.Sales Stage]],0))/INDEX(Fact[[#All],[Opportunity ID]],MATCH(X75,Fact[[#All],[salestage.Sales Stage]],0)), "")</f>
        <v>1</v>
      </c>
    </row>
    <row r="77" spans="1:29" x14ac:dyDescent="0.3">
      <c r="A77" s="1">
        <v>42338.457638888889</v>
      </c>
      <c r="B77">
        <v>76</v>
      </c>
      <c r="C77">
        <v>1</v>
      </c>
      <c r="D77">
        <v>64</v>
      </c>
      <c r="E77">
        <v>27</v>
      </c>
      <c r="F77">
        <v>10</v>
      </c>
      <c r="G77">
        <v>4963605</v>
      </c>
      <c r="H77" s="5">
        <v>496361</v>
      </c>
      <c r="I77" s="1">
        <v>21</v>
      </c>
      <c r="J77">
        <v>374</v>
      </c>
      <c r="K77">
        <v>2015</v>
      </c>
      <c r="L77">
        <v>11</v>
      </c>
      <c r="M77" t="s">
        <v>506</v>
      </c>
      <c r="N77" t="s">
        <v>3</v>
      </c>
      <c r="O77" t="s">
        <v>979</v>
      </c>
      <c r="P77">
        <v>290</v>
      </c>
      <c r="Q77">
        <v>2</v>
      </c>
      <c r="R77" t="s">
        <v>143</v>
      </c>
      <c r="S77" t="s">
        <v>3</v>
      </c>
      <c r="T77" t="s">
        <v>179</v>
      </c>
      <c r="U77" t="s">
        <v>116</v>
      </c>
      <c r="V77" t="s">
        <v>72</v>
      </c>
      <c r="W77">
        <v>0.1</v>
      </c>
      <c r="X77" t="s">
        <v>195</v>
      </c>
      <c r="Y77" t="s">
        <v>215</v>
      </c>
      <c r="Z77" t="s">
        <v>8</v>
      </c>
      <c r="AA77" t="s">
        <v>6</v>
      </c>
      <c r="AB77">
        <f xml:space="preserve"> COUNTIF(Fact[[#This Row],[Partner.Partner Driven]], "Yes") / COUNTA(Fact[Opportunity ID])</f>
        <v>2.05761316872428E-3</v>
      </c>
      <c r="AC77">
        <f>IFERROR(INDEX(Fact[[#All],[Opportunity ID]],MATCH(X77,Fact[[#All],[salestage.Sales Stage]],0))/INDEX(Fact[[#All],[Opportunity ID]],MATCH(X76,Fact[[#All],[salestage.Sales Stage]],0)), "")</f>
        <v>1</v>
      </c>
    </row>
    <row r="78" spans="1:29" x14ac:dyDescent="0.3">
      <c r="A78" s="1">
        <v>42163.457638888889</v>
      </c>
      <c r="B78">
        <v>77</v>
      </c>
      <c r="C78">
        <v>1</v>
      </c>
      <c r="D78">
        <v>65</v>
      </c>
      <c r="E78">
        <v>22</v>
      </c>
      <c r="F78">
        <v>10</v>
      </c>
      <c r="G78">
        <v>5294496</v>
      </c>
      <c r="H78" s="5">
        <v>529450</v>
      </c>
      <c r="I78" s="1">
        <v>1</v>
      </c>
      <c r="J78">
        <v>464</v>
      </c>
      <c r="K78">
        <v>2015</v>
      </c>
      <c r="L78">
        <v>6</v>
      </c>
      <c r="M78" t="s">
        <v>70</v>
      </c>
      <c r="N78" t="s">
        <v>3</v>
      </c>
      <c r="O78" t="s">
        <v>980</v>
      </c>
      <c r="P78">
        <v>309</v>
      </c>
      <c r="Q78">
        <v>2</v>
      </c>
      <c r="R78" t="s">
        <v>143</v>
      </c>
      <c r="S78" t="s">
        <v>3</v>
      </c>
      <c r="T78" t="s">
        <v>179</v>
      </c>
      <c r="U78" t="s">
        <v>84</v>
      </c>
      <c r="V78" t="s">
        <v>85</v>
      </c>
      <c r="W78">
        <v>0.1</v>
      </c>
      <c r="X78" t="s">
        <v>195</v>
      </c>
      <c r="Y78" t="s">
        <v>216</v>
      </c>
      <c r="Z78" t="s">
        <v>3</v>
      </c>
      <c r="AA78" t="s">
        <v>4</v>
      </c>
      <c r="AB78">
        <f xml:space="preserve"> COUNTIF(Fact[[#This Row],[Partner.Partner Driven]], "Yes") / COUNTA(Fact[Opportunity ID])</f>
        <v>0</v>
      </c>
      <c r="AC78">
        <f>IFERROR(INDEX(Fact[[#All],[Opportunity ID]],MATCH(X78,Fact[[#All],[salestage.Sales Stage]],0))/INDEX(Fact[[#All],[Opportunity ID]],MATCH(X77,Fact[[#All],[salestage.Sales Stage]],0)), "")</f>
        <v>1</v>
      </c>
    </row>
    <row r="79" spans="1:29" x14ac:dyDescent="0.3">
      <c r="A79" s="1">
        <v>42338.457638888889</v>
      </c>
      <c r="B79">
        <v>78</v>
      </c>
      <c r="C79">
        <v>1</v>
      </c>
      <c r="D79">
        <v>66</v>
      </c>
      <c r="E79">
        <v>22</v>
      </c>
      <c r="F79">
        <v>8</v>
      </c>
      <c r="G79">
        <v>448423</v>
      </c>
      <c r="H79" s="5">
        <v>44842</v>
      </c>
      <c r="I79" s="1">
        <v>21</v>
      </c>
      <c r="J79">
        <v>647</v>
      </c>
      <c r="K79">
        <v>2015</v>
      </c>
      <c r="L79">
        <v>11</v>
      </c>
      <c r="M79" t="s">
        <v>506</v>
      </c>
      <c r="N79" t="s">
        <v>3</v>
      </c>
      <c r="O79" t="s">
        <v>981</v>
      </c>
      <c r="P79">
        <v>40</v>
      </c>
      <c r="Q79">
        <v>1</v>
      </c>
      <c r="R79" t="s">
        <v>138</v>
      </c>
      <c r="S79" t="s">
        <v>3</v>
      </c>
      <c r="T79" t="s">
        <v>177</v>
      </c>
      <c r="U79" t="s">
        <v>84</v>
      </c>
      <c r="V79" t="s">
        <v>85</v>
      </c>
      <c r="W79">
        <v>0.1</v>
      </c>
      <c r="X79" t="s">
        <v>195</v>
      </c>
      <c r="Y79" t="s">
        <v>217</v>
      </c>
      <c r="Z79" t="s">
        <v>3</v>
      </c>
      <c r="AA79" t="s">
        <v>6</v>
      </c>
      <c r="AB79">
        <f xml:space="preserve"> COUNTIF(Fact[[#This Row],[Partner.Partner Driven]], "Yes") / COUNTA(Fact[Opportunity ID])</f>
        <v>0</v>
      </c>
      <c r="AC79">
        <f>IFERROR(INDEX(Fact[[#All],[Opportunity ID]],MATCH(X79,Fact[[#All],[salestage.Sales Stage]],0))/INDEX(Fact[[#All],[Opportunity ID]],MATCH(X78,Fact[[#All],[salestage.Sales Stage]],0)), "")</f>
        <v>1</v>
      </c>
    </row>
    <row r="80" spans="1:29" x14ac:dyDescent="0.3">
      <c r="A80" s="1">
        <v>42139.457638888889</v>
      </c>
      <c r="B80">
        <v>79</v>
      </c>
      <c r="C80">
        <v>2</v>
      </c>
      <c r="D80">
        <v>67</v>
      </c>
      <c r="E80">
        <v>21</v>
      </c>
      <c r="F80">
        <v>16</v>
      </c>
      <c r="G80">
        <v>4890268</v>
      </c>
      <c r="H80" s="5">
        <v>978054</v>
      </c>
      <c r="I80" s="1">
        <v>4</v>
      </c>
      <c r="J80">
        <v>406</v>
      </c>
      <c r="K80">
        <v>2015</v>
      </c>
      <c r="L80">
        <v>5</v>
      </c>
      <c r="M80" t="s">
        <v>68</v>
      </c>
      <c r="N80" t="s">
        <v>3</v>
      </c>
      <c r="O80" t="s">
        <v>982</v>
      </c>
      <c r="P80">
        <v>286</v>
      </c>
      <c r="Q80">
        <v>2</v>
      </c>
      <c r="R80" t="s">
        <v>143</v>
      </c>
      <c r="S80" t="s">
        <v>3</v>
      </c>
      <c r="T80" t="s">
        <v>185</v>
      </c>
      <c r="U80" t="s">
        <v>74</v>
      </c>
      <c r="V80" t="s">
        <v>72</v>
      </c>
      <c r="W80">
        <v>0.2</v>
      </c>
      <c r="X80" t="s">
        <v>196</v>
      </c>
      <c r="Y80" t="s">
        <v>218</v>
      </c>
      <c r="Z80" t="s">
        <v>13</v>
      </c>
      <c r="AA80" t="s">
        <v>4</v>
      </c>
      <c r="AB80">
        <f xml:space="preserve"> COUNTIF(Fact[[#This Row],[Partner.Partner Driven]], "Yes") / COUNTA(Fact[Opportunity ID])</f>
        <v>2.05761316872428E-3</v>
      </c>
      <c r="AC80">
        <f>IFERROR(INDEX(Fact[[#All],[Opportunity ID]],MATCH(X80,Fact[[#All],[salestage.Sales Stage]],0))/INDEX(Fact[[#All],[Opportunity ID]],MATCH(X79,Fact[[#All],[salestage.Sales Stage]],0)), "")</f>
        <v>0.5</v>
      </c>
    </row>
    <row r="81" spans="1:29" x14ac:dyDescent="0.3">
      <c r="A81" s="1">
        <v>42156.457638888889</v>
      </c>
      <c r="B81">
        <v>80</v>
      </c>
      <c r="C81">
        <v>1</v>
      </c>
      <c r="D81">
        <v>68</v>
      </c>
      <c r="E81">
        <v>22</v>
      </c>
      <c r="F81">
        <v>6</v>
      </c>
      <c r="G81">
        <v>2332519</v>
      </c>
      <c r="H81" s="5">
        <v>233252</v>
      </c>
      <c r="I81" s="1">
        <v>1</v>
      </c>
      <c r="J81">
        <v>365</v>
      </c>
      <c r="K81">
        <v>2015</v>
      </c>
      <c r="L81">
        <v>6</v>
      </c>
      <c r="M81" t="s">
        <v>70</v>
      </c>
      <c r="N81" t="s">
        <v>3</v>
      </c>
      <c r="O81" t="s">
        <v>984</v>
      </c>
      <c r="P81">
        <v>155</v>
      </c>
      <c r="Q81">
        <v>1</v>
      </c>
      <c r="R81" t="s">
        <v>138</v>
      </c>
      <c r="S81" t="s">
        <v>3</v>
      </c>
      <c r="T81" t="s">
        <v>175</v>
      </c>
      <c r="U81" t="s">
        <v>84</v>
      </c>
      <c r="V81" t="s">
        <v>85</v>
      </c>
      <c r="W81">
        <v>0.1</v>
      </c>
      <c r="X81" t="s">
        <v>195</v>
      </c>
      <c r="Y81" t="s">
        <v>219</v>
      </c>
      <c r="Z81" t="s">
        <v>13</v>
      </c>
      <c r="AA81" t="s">
        <v>4</v>
      </c>
      <c r="AB81">
        <f xml:space="preserve"> COUNTIF(Fact[[#This Row],[Partner.Partner Driven]], "Yes") / COUNTA(Fact[Opportunity ID])</f>
        <v>0</v>
      </c>
      <c r="AC81">
        <f>IFERROR(INDEX(Fact[[#All],[Opportunity ID]],MATCH(X81,Fact[[#All],[salestage.Sales Stage]],0))/INDEX(Fact[[#All],[Opportunity ID]],MATCH(X80,Fact[[#All],[salestage.Sales Stage]],0)), "")</f>
        <v>2</v>
      </c>
    </row>
    <row r="82" spans="1:29" x14ac:dyDescent="0.3">
      <c r="A82" s="1">
        <v>42091.457638888889</v>
      </c>
      <c r="B82">
        <v>81</v>
      </c>
      <c r="C82">
        <v>2</v>
      </c>
      <c r="D82">
        <v>69</v>
      </c>
      <c r="E82">
        <v>22</v>
      </c>
      <c r="F82">
        <v>6</v>
      </c>
      <c r="G82">
        <v>2875462</v>
      </c>
      <c r="H82" s="5">
        <v>575092</v>
      </c>
      <c r="I82" s="1">
        <v>14</v>
      </c>
      <c r="J82">
        <v>379</v>
      </c>
      <c r="K82">
        <v>2015</v>
      </c>
      <c r="L82">
        <v>3</v>
      </c>
      <c r="M82" t="s">
        <v>512</v>
      </c>
      <c r="N82" t="s">
        <v>13</v>
      </c>
      <c r="O82" t="s">
        <v>985</v>
      </c>
      <c r="P82">
        <v>183</v>
      </c>
      <c r="Q82">
        <v>2</v>
      </c>
      <c r="R82" t="s">
        <v>143</v>
      </c>
      <c r="S82" t="s">
        <v>13</v>
      </c>
      <c r="T82" t="s">
        <v>175</v>
      </c>
      <c r="U82" t="s">
        <v>84</v>
      </c>
      <c r="V82" t="s">
        <v>85</v>
      </c>
      <c r="W82">
        <v>0.2</v>
      </c>
      <c r="X82" t="s">
        <v>196</v>
      </c>
      <c r="Y82" t="s">
        <v>220</v>
      </c>
      <c r="Z82" t="s">
        <v>3</v>
      </c>
      <c r="AA82" t="s">
        <v>4</v>
      </c>
      <c r="AB82">
        <f xml:space="preserve"> COUNTIF(Fact[[#This Row],[Partner.Partner Driven]], "Yes") / COUNTA(Fact[Opportunity ID])</f>
        <v>0</v>
      </c>
      <c r="AC82">
        <f>IFERROR(INDEX(Fact[[#All],[Opportunity ID]],MATCH(X82,Fact[[#All],[salestage.Sales Stage]],0))/INDEX(Fact[[#All],[Opportunity ID]],MATCH(X81,Fact[[#All],[salestage.Sales Stage]],0)), "")</f>
        <v>0.5</v>
      </c>
    </row>
    <row r="83" spans="1:29" x14ac:dyDescent="0.3">
      <c r="A83" s="1">
        <v>42369.457638888889</v>
      </c>
      <c r="B83">
        <v>82</v>
      </c>
      <c r="C83">
        <v>1</v>
      </c>
      <c r="D83">
        <v>70</v>
      </c>
      <c r="E83">
        <v>8</v>
      </c>
      <c r="F83">
        <v>17</v>
      </c>
      <c r="G83">
        <v>1866052</v>
      </c>
      <c r="H83" s="5">
        <v>186605</v>
      </c>
      <c r="I83" s="1">
        <v>25</v>
      </c>
      <c r="J83">
        <v>371</v>
      </c>
      <c r="K83">
        <v>2015</v>
      </c>
      <c r="L83">
        <v>12</v>
      </c>
      <c r="M83" t="s">
        <v>508</v>
      </c>
      <c r="N83" t="s">
        <v>13</v>
      </c>
      <c r="O83" t="s">
        <v>986</v>
      </c>
      <c r="P83">
        <v>126</v>
      </c>
      <c r="Q83">
        <v>1</v>
      </c>
      <c r="R83" t="s">
        <v>138</v>
      </c>
      <c r="S83" t="s">
        <v>13</v>
      </c>
      <c r="T83" t="s">
        <v>186</v>
      </c>
      <c r="U83" t="s">
        <v>526</v>
      </c>
      <c r="V83" t="s">
        <v>72</v>
      </c>
      <c r="W83">
        <v>0.1</v>
      </c>
      <c r="X83" t="s">
        <v>195</v>
      </c>
      <c r="Y83" t="s">
        <v>221</v>
      </c>
      <c r="Z83" t="s">
        <v>8</v>
      </c>
      <c r="AA83" t="s">
        <v>9</v>
      </c>
      <c r="AB83">
        <f xml:space="preserve"> COUNTIF(Fact[[#This Row],[Partner.Partner Driven]], "Yes") / COUNTA(Fact[Opportunity ID])</f>
        <v>2.05761316872428E-3</v>
      </c>
      <c r="AC83">
        <f>IFERROR(INDEX(Fact[[#All],[Opportunity ID]],MATCH(X83,Fact[[#All],[salestage.Sales Stage]],0))/INDEX(Fact[[#All],[Opportunity ID]],MATCH(X82,Fact[[#All],[salestage.Sales Stage]],0)), "")</f>
        <v>2</v>
      </c>
    </row>
    <row r="84" spans="1:29" x14ac:dyDescent="0.3">
      <c r="A84" s="1">
        <v>42156.457638888889</v>
      </c>
      <c r="B84">
        <v>83</v>
      </c>
      <c r="C84">
        <v>1</v>
      </c>
      <c r="D84">
        <v>71</v>
      </c>
      <c r="E84">
        <v>22</v>
      </c>
      <c r="F84">
        <v>13</v>
      </c>
      <c r="G84">
        <v>3269705</v>
      </c>
      <c r="H84" s="5">
        <v>326971</v>
      </c>
      <c r="I84" s="1">
        <v>1</v>
      </c>
      <c r="J84">
        <v>426</v>
      </c>
      <c r="K84">
        <v>2015</v>
      </c>
      <c r="L84">
        <v>6</v>
      </c>
      <c r="M84" t="s">
        <v>70</v>
      </c>
      <c r="N84" t="s">
        <v>13</v>
      </c>
      <c r="O84" t="s">
        <v>987</v>
      </c>
      <c r="P84">
        <v>204</v>
      </c>
      <c r="Q84">
        <v>2</v>
      </c>
      <c r="R84" t="s">
        <v>143</v>
      </c>
      <c r="S84" t="s">
        <v>13</v>
      </c>
      <c r="T84" t="s">
        <v>182</v>
      </c>
      <c r="U84" t="s">
        <v>84</v>
      </c>
      <c r="V84" t="s">
        <v>85</v>
      </c>
      <c r="W84">
        <v>0.1</v>
      </c>
      <c r="X84" t="s">
        <v>195</v>
      </c>
      <c r="Y84" t="s">
        <v>222</v>
      </c>
      <c r="Z84" t="s">
        <v>3</v>
      </c>
      <c r="AA84" t="s">
        <v>9</v>
      </c>
      <c r="AB84">
        <f xml:space="preserve"> COUNTIF(Fact[[#This Row],[Partner.Partner Driven]], "Yes") / COUNTA(Fact[Opportunity ID])</f>
        <v>0</v>
      </c>
      <c r="AC84">
        <f>IFERROR(INDEX(Fact[[#All],[Opportunity ID]],MATCH(X84,Fact[[#All],[salestage.Sales Stage]],0))/INDEX(Fact[[#All],[Opportunity ID]],MATCH(X83,Fact[[#All],[salestage.Sales Stage]],0)), "")</f>
        <v>1</v>
      </c>
    </row>
    <row r="85" spans="1:29" x14ac:dyDescent="0.3">
      <c r="A85" s="1">
        <v>42328.457638888889</v>
      </c>
      <c r="B85">
        <v>84</v>
      </c>
      <c r="C85">
        <v>1</v>
      </c>
      <c r="D85">
        <v>72</v>
      </c>
      <c r="E85">
        <v>22</v>
      </c>
      <c r="F85">
        <v>1</v>
      </c>
      <c r="G85">
        <v>356981</v>
      </c>
      <c r="H85" s="5">
        <v>35698</v>
      </c>
      <c r="I85" s="1">
        <v>9</v>
      </c>
      <c r="J85">
        <v>649</v>
      </c>
      <c r="K85">
        <v>2015</v>
      </c>
      <c r="L85">
        <v>11</v>
      </c>
      <c r="M85" t="s">
        <v>506</v>
      </c>
      <c r="N85" t="s">
        <v>3</v>
      </c>
      <c r="O85" t="s">
        <v>988</v>
      </c>
      <c r="P85">
        <v>33</v>
      </c>
      <c r="Q85">
        <v>1</v>
      </c>
      <c r="R85" t="s">
        <v>138</v>
      </c>
      <c r="S85" t="s">
        <v>3</v>
      </c>
      <c r="T85" t="s">
        <v>170</v>
      </c>
      <c r="U85" t="s">
        <v>84</v>
      </c>
      <c r="V85" t="s">
        <v>85</v>
      </c>
      <c r="W85">
        <v>0.1</v>
      </c>
      <c r="X85" t="s">
        <v>195</v>
      </c>
      <c r="Y85" t="s">
        <v>223</v>
      </c>
      <c r="Z85" t="s">
        <v>3</v>
      </c>
      <c r="AA85" t="s">
        <v>9</v>
      </c>
      <c r="AB85">
        <f xml:space="preserve"> COUNTIF(Fact[[#This Row],[Partner.Partner Driven]], "Yes") / COUNTA(Fact[Opportunity ID])</f>
        <v>0</v>
      </c>
      <c r="AC85">
        <f>IFERROR(INDEX(Fact[[#All],[Opportunity ID]],MATCH(X85,Fact[[#All],[salestage.Sales Stage]],0))/INDEX(Fact[[#All],[Opportunity ID]],MATCH(X84,Fact[[#All],[salestage.Sales Stage]],0)), "")</f>
        <v>1</v>
      </c>
    </row>
    <row r="86" spans="1:29" x14ac:dyDescent="0.3">
      <c r="A86" s="1">
        <v>42065.457638888889</v>
      </c>
      <c r="B86">
        <v>85</v>
      </c>
      <c r="C86">
        <v>2</v>
      </c>
      <c r="D86">
        <v>73</v>
      </c>
      <c r="E86">
        <v>8</v>
      </c>
      <c r="F86">
        <v>10</v>
      </c>
      <c r="G86">
        <v>3396915</v>
      </c>
      <c r="H86" s="5">
        <v>679383</v>
      </c>
      <c r="I86" s="1">
        <v>1</v>
      </c>
      <c r="J86">
        <v>366</v>
      </c>
      <c r="K86">
        <v>2015</v>
      </c>
      <c r="L86">
        <v>3</v>
      </c>
      <c r="M86" t="s">
        <v>512</v>
      </c>
      <c r="N86" t="s">
        <v>13</v>
      </c>
      <c r="O86" t="s">
        <v>989</v>
      </c>
      <c r="P86">
        <v>209</v>
      </c>
      <c r="Q86">
        <v>2</v>
      </c>
      <c r="R86" t="s">
        <v>143</v>
      </c>
      <c r="S86" t="s">
        <v>13</v>
      </c>
      <c r="T86" t="s">
        <v>179</v>
      </c>
      <c r="U86" t="s">
        <v>526</v>
      </c>
      <c r="V86" t="s">
        <v>72</v>
      </c>
      <c r="W86">
        <v>0.2</v>
      </c>
      <c r="X86" t="s">
        <v>196</v>
      </c>
      <c r="Y86" t="s">
        <v>224</v>
      </c>
      <c r="Z86" t="s">
        <v>3</v>
      </c>
      <c r="AA86" t="s">
        <v>4</v>
      </c>
      <c r="AB86">
        <f xml:space="preserve"> COUNTIF(Fact[[#This Row],[Partner.Partner Driven]], "Yes") / COUNTA(Fact[Opportunity ID])</f>
        <v>2.05761316872428E-3</v>
      </c>
      <c r="AC86">
        <f>IFERROR(INDEX(Fact[[#All],[Opportunity ID]],MATCH(X86,Fact[[#All],[salestage.Sales Stage]],0))/INDEX(Fact[[#All],[Opportunity ID]],MATCH(X85,Fact[[#All],[salestage.Sales Stage]],0)), "")</f>
        <v>0.5</v>
      </c>
    </row>
    <row r="87" spans="1:29" x14ac:dyDescent="0.3">
      <c r="A87" s="1">
        <v>42216.333333333336</v>
      </c>
      <c r="B87">
        <v>86</v>
      </c>
      <c r="C87">
        <v>2</v>
      </c>
      <c r="D87">
        <v>74</v>
      </c>
      <c r="E87">
        <v>29</v>
      </c>
      <c r="F87">
        <v>10</v>
      </c>
      <c r="G87">
        <v>2781961</v>
      </c>
      <c r="H87" s="5">
        <v>556392</v>
      </c>
      <c r="I87" s="1">
        <v>13</v>
      </c>
      <c r="J87">
        <v>564</v>
      </c>
      <c r="K87">
        <v>2015</v>
      </c>
      <c r="L87">
        <v>7</v>
      </c>
      <c r="M87" t="s">
        <v>69</v>
      </c>
      <c r="N87" t="s">
        <v>8</v>
      </c>
      <c r="O87" t="s">
        <v>990</v>
      </c>
      <c r="P87">
        <v>181</v>
      </c>
      <c r="Q87">
        <v>2</v>
      </c>
      <c r="R87" t="s">
        <v>143</v>
      </c>
      <c r="S87" t="s">
        <v>8</v>
      </c>
      <c r="T87" t="s">
        <v>179</v>
      </c>
      <c r="U87" t="s">
        <v>514</v>
      </c>
      <c r="V87" t="s">
        <v>72</v>
      </c>
      <c r="W87">
        <v>0.2</v>
      </c>
      <c r="X87" t="s">
        <v>196</v>
      </c>
      <c r="Y87" t="s">
        <v>225</v>
      </c>
      <c r="Z87" t="s">
        <v>3</v>
      </c>
      <c r="AA87" t="s">
        <v>6</v>
      </c>
      <c r="AB87">
        <f xml:space="preserve"> COUNTIF(Fact[[#This Row],[Partner.Partner Driven]], "Yes") / COUNTA(Fact[Opportunity ID])</f>
        <v>2.05761316872428E-3</v>
      </c>
      <c r="AC87">
        <f>IFERROR(INDEX(Fact[[#All],[Opportunity ID]],MATCH(X87,Fact[[#All],[salestage.Sales Stage]],0))/INDEX(Fact[[#All],[Opportunity ID]],MATCH(X86,Fact[[#All],[salestage.Sales Stage]],0)), "")</f>
        <v>1</v>
      </c>
    </row>
    <row r="88" spans="1:29" x14ac:dyDescent="0.3">
      <c r="A88" s="1">
        <v>42216.333333333336</v>
      </c>
      <c r="B88">
        <v>87</v>
      </c>
      <c r="C88">
        <v>1</v>
      </c>
      <c r="D88">
        <v>75</v>
      </c>
      <c r="E88">
        <v>22</v>
      </c>
      <c r="F88">
        <v>18</v>
      </c>
      <c r="G88">
        <v>664119</v>
      </c>
      <c r="H88" s="5">
        <v>66412</v>
      </c>
      <c r="I88" s="1">
        <v>30</v>
      </c>
      <c r="J88">
        <v>488</v>
      </c>
      <c r="K88">
        <v>2015</v>
      </c>
      <c r="L88">
        <v>7</v>
      </c>
      <c r="M88" t="s">
        <v>69</v>
      </c>
      <c r="N88" t="s">
        <v>13</v>
      </c>
      <c r="O88" t="s">
        <v>991</v>
      </c>
      <c r="P88">
        <v>52</v>
      </c>
      <c r="Q88">
        <v>1</v>
      </c>
      <c r="R88" t="s">
        <v>138</v>
      </c>
      <c r="S88" t="s">
        <v>13</v>
      </c>
      <c r="T88" t="s">
        <v>187</v>
      </c>
      <c r="U88" t="s">
        <v>84</v>
      </c>
      <c r="V88" t="s">
        <v>85</v>
      </c>
      <c r="W88">
        <v>0.1</v>
      </c>
      <c r="X88" t="s">
        <v>195</v>
      </c>
      <c r="Y88" t="s">
        <v>226</v>
      </c>
      <c r="Z88" t="s">
        <v>13</v>
      </c>
      <c r="AA88" t="s">
        <v>9</v>
      </c>
      <c r="AB88">
        <f xml:space="preserve"> COUNTIF(Fact[[#This Row],[Partner.Partner Driven]], "Yes") / COUNTA(Fact[Opportunity ID])</f>
        <v>0</v>
      </c>
      <c r="AC88">
        <f>IFERROR(INDEX(Fact[[#All],[Opportunity ID]],MATCH(X88,Fact[[#All],[salestage.Sales Stage]],0))/INDEX(Fact[[#All],[Opportunity ID]],MATCH(X87,Fact[[#All],[salestage.Sales Stage]],0)), "")</f>
        <v>2</v>
      </c>
    </row>
    <row r="89" spans="1:29" x14ac:dyDescent="0.3">
      <c r="A89" s="1">
        <v>42241.291666666664</v>
      </c>
      <c r="B89">
        <v>88</v>
      </c>
      <c r="C89">
        <v>1</v>
      </c>
      <c r="D89">
        <v>76</v>
      </c>
      <c r="E89">
        <v>22</v>
      </c>
      <c r="F89">
        <v>17</v>
      </c>
      <c r="G89">
        <v>7329776</v>
      </c>
      <c r="H89" s="5">
        <v>732978</v>
      </c>
      <c r="I89" s="1">
        <v>10</v>
      </c>
      <c r="J89">
        <v>411</v>
      </c>
      <c r="K89">
        <v>2015</v>
      </c>
      <c r="L89">
        <v>8</v>
      </c>
      <c r="M89" t="s">
        <v>513</v>
      </c>
      <c r="N89" t="s">
        <v>13</v>
      </c>
      <c r="O89" t="s">
        <v>992</v>
      </c>
      <c r="P89">
        <v>397</v>
      </c>
      <c r="Q89">
        <v>3</v>
      </c>
      <c r="R89" t="s">
        <v>9</v>
      </c>
      <c r="S89" t="s">
        <v>13</v>
      </c>
      <c r="T89" t="s">
        <v>186</v>
      </c>
      <c r="U89" t="s">
        <v>84</v>
      </c>
      <c r="V89" t="s">
        <v>85</v>
      </c>
      <c r="W89">
        <v>0.1</v>
      </c>
      <c r="X89" t="s">
        <v>195</v>
      </c>
      <c r="Y89" t="s">
        <v>227</v>
      </c>
      <c r="Z89" t="s">
        <v>13</v>
      </c>
      <c r="AA89" t="s">
        <v>9</v>
      </c>
      <c r="AB89">
        <f xml:space="preserve"> COUNTIF(Fact[[#This Row],[Partner.Partner Driven]], "Yes") / COUNTA(Fact[Opportunity ID])</f>
        <v>0</v>
      </c>
      <c r="AC89">
        <f>IFERROR(INDEX(Fact[[#All],[Opportunity ID]],MATCH(X89,Fact[[#All],[salestage.Sales Stage]],0))/INDEX(Fact[[#All],[Opportunity ID]],MATCH(X88,Fact[[#All],[salestage.Sales Stage]],0)), "")</f>
        <v>1</v>
      </c>
    </row>
    <row r="90" spans="1:29" x14ac:dyDescent="0.3">
      <c r="A90" s="1">
        <v>42031.457638888889</v>
      </c>
      <c r="B90">
        <v>89</v>
      </c>
      <c r="C90">
        <v>4</v>
      </c>
      <c r="D90">
        <v>77</v>
      </c>
      <c r="E90">
        <v>30</v>
      </c>
      <c r="F90">
        <v>9</v>
      </c>
      <c r="G90">
        <v>7316443</v>
      </c>
      <c r="H90" s="5">
        <v>4389866</v>
      </c>
      <c r="I90" s="1">
        <v>17</v>
      </c>
      <c r="J90">
        <v>375</v>
      </c>
      <c r="K90">
        <v>2015</v>
      </c>
      <c r="L90">
        <v>1</v>
      </c>
      <c r="M90" t="s">
        <v>511</v>
      </c>
      <c r="N90" t="s">
        <v>13</v>
      </c>
      <c r="O90" t="s">
        <v>993</v>
      </c>
      <c r="P90">
        <v>396</v>
      </c>
      <c r="Q90">
        <v>3</v>
      </c>
      <c r="R90" t="s">
        <v>9</v>
      </c>
      <c r="S90" t="s">
        <v>13</v>
      </c>
      <c r="T90" t="s">
        <v>178</v>
      </c>
      <c r="U90" t="s">
        <v>128</v>
      </c>
      <c r="V90" t="s">
        <v>72</v>
      </c>
      <c r="W90">
        <v>0.6</v>
      </c>
      <c r="X90" t="s">
        <v>198</v>
      </c>
      <c r="Y90" t="s">
        <v>228</v>
      </c>
      <c r="Z90" t="s">
        <v>3</v>
      </c>
      <c r="AA90" t="s">
        <v>9</v>
      </c>
      <c r="AB90">
        <f xml:space="preserve"> COUNTIF(Fact[[#This Row],[Partner.Partner Driven]], "Yes") / COUNTA(Fact[Opportunity ID])</f>
        <v>2.05761316872428E-3</v>
      </c>
      <c r="AC90">
        <f>IFERROR(INDEX(Fact[[#All],[Opportunity ID]],MATCH(X90,Fact[[#All],[salestage.Sales Stage]],0))/INDEX(Fact[[#All],[Opportunity ID]],MATCH(X89,Fact[[#All],[salestage.Sales Stage]],0)), "")</f>
        <v>14</v>
      </c>
    </row>
    <row r="91" spans="1:29" x14ac:dyDescent="0.3">
      <c r="A91" s="1">
        <v>42369.457638888889</v>
      </c>
      <c r="B91">
        <v>90</v>
      </c>
      <c r="C91">
        <v>1</v>
      </c>
      <c r="D91">
        <v>78</v>
      </c>
      <c r="E91">
        <v>8</v>
      </c>
      <c r="F91">
        <v>3</v>
      </c>
      <c r="G91">
        <v>6338810</v>
      </c>
      <c r="H91" s="5">
        <v>633881</v>
      </c>
      <c r="I91" s="1">
        <v>31</v>
      </c>
      <c r="J91">
        <v>640</v>
      </c>
      <c r="K91">
        <v>2015</v>
      </c>
      <c r="L91">
        <v>12</v>
      </c>
      <c r="M91" t="s">
        <v>508</v>
      </c>
      <c r="N91" t="s">
        <v>8</v>
      </c>
      <c r="O91" t="s">
        <v>995</v>
      </c>
      <c r="P91">
        <v>361</v>
      </c>
      <c r="Q91">
        <v>3</v>
      </c>
      <c r="R91" t="s">
        <v>9</v>
      </c>
      <c r="S91" t="s">
        <v>8</v>
      </c>
      <c r="T91" t="s">
        <v>172</v>
      </c>
      <c r="U91" t="s">
        <v>526</v>
      </c>
      <c r="V91" t="s">
        <v>72</v>
      </c>
      <c r="W91">
        <v>0.1</v>
      </c>
      <c r="X91" t="s">
        <v>195</v>
      </c>
      <c r="Y91" t="s">
        <v>229</v>
      </c>
      <c r="Z91" t="s">
        <v>13</v>
      </c>
      <c r="AA91" t="s">
        <v>4</v>
      </c>
      <c r="AB91">
        <f xml:space="preserve"> COUNTIF(Fact[[#This Row],[Partner.Partner Driven]], "Yes") / COUNTA(Fact[Opportunity ID])</f>
        <v>2.05761316872428E-3</v>
      </c>
      <c r="AC91">
        <f>IFERROR(INDEX(Fact[[#All],[Opportunity ID]],MATCH(X91,Fact[[#All],[salestage.Sales Stage]],0))/INDEX(Fact[[#All],[Opportunity ID]],MATCH(X90,Fact[[#All],[salestage.Sales Stage]],0)), "")</f>
        <v>7.1428571428571425E-2</v>
      </c>
    </row>
    <row r="92" spans="1:29" x14ac:dyDescent="0.3">
      <c r="A92" s="1">
        <v>42055.25</v>
      </c>
      <c r="B92">
        <v>91</v>
      </c>
      <c r="C92">
        <v>3</v>
      </c>
      <c r="D92">
        <v>79</v>
      </c>
      <c r="E92">
        <v>22</v>
      </c>
      <c r="F92">
        <v>20</v>
      </c>
      <c r="G92">
        <v>971734</v>
      </c>
      <c r="H92" s="5">
        <v>388694</v>
      </c>
      <c r="I92" s="1">
        <v>9</v>
      </c>
      <c r="J92">
        <v>376</v>
      </c>
      <c r="K92">
        <v>2015</v>
      </c>
      <c r="L92">
        <v>2</v>
      </c>
      <c r="M92" t="s">
        <v>509</v>
      </c>
      <c r="N92" t="s">
        <v>8</v>
      </c>
      <c r="O92" t="s">
        <v>996</v>
      </c>
      <c r="P92">
        <v>71</v>
      </c>
      <c r="Q92">
        <v>1</v>
      </c>
      <c r="R92" t="s">
        <v>138</v>
      </c>
      <c r="S92" t="s">
        <v>8</v>
      </c>
      <c r="T92" t="s">
        <v>189</v>
      </c>
      <c r="U92" t="s">
        <v>84</v>
      </c>
      <c r="V92" t="s">
        <v>85</v>
      </c>
      <c r="W92">
        <v>0.4</v>
      </c>
      <c r="X92" t="s">
        <v>197</v>
      </c>
      <c r="Y92" t="s">
        <v>230</v>
      </c>
      <c r="Z92" t="s">
        <v>3</v>
      </c>
      <c r="AA92" t="s">
        <v>4</v>
      </c>
      <c r="AB92">
        <f xml:space="preserve"> COUNTIF(Fact[[#This Row],[Partner.Partner Driven]], "Yes") / COUNTA(Fact[Opportunity ID])</f>
        <v>0</v>
      </c>
      <c r="AC92">
        <f>IFERROR(INDEX(Fact[[#All],[Opportunity ID]],MATCH(X92,Fact[[#All],[salestage.Sales Stage]],0))/INDEX(Fact[[#All],[Opportunity ID]],MATCH(X91,Fact[[#All],[salestage.Sales Stage]],0)), "")</f>
        <v>4.5</v>
      </c>
    </row>
    <row r="93" spans="1:29" x14ac:dyDescent="0.3">
      <c r="A93" s="1">
        <v>42153.457638888889</v>
      </c>
      <c r="B93">
        <v>92</v>
      </c>
      <c r="C93">
        <v>2</v>
      </c>
      <c r="D93">
        <v>80</v>
      </c>
      <c r="E93">
        <v>3</v>
      </c>
      <c r="F93">
        <v>16</v>
      </c>
      <c r="G93">
        <v>3816213</v>
      </c>
      <c r="H93" s="5">
        <v>763243</v>
      </c>
      <c r="I93" s="1">
        <v>16</v>
      </c>
      <c r="J93">
        <v>498</v>
      </c>
      <c r="K93">
        <v>2015</v>
      </c>
      <c r="L93">
        <v>5</v>
      </c>
      <c r="M93" t="s">
        <v>68</v>
      </c>
      <c r="N93" t="s">
        <v>8</v>
      </c>
      <c r="O93" t="s">
        <v>997</v>
      </c>
      <c r="P93">
        <v>234</v>
      </c>
      <c r="Q93">
        <v>2</v>
      </c>
      <c r="R93" t="s">
        <v>143</v>
      </c>
      <c r="S93" t="s">
        <v>8</v>
      </c>
      <c r="T93" t="s">
        <v>185</v>
      </c>
      <c r="U93" t="s">
        <v>115</v>
      </c>
      <c r="V93" t="s">
        <v>72</v>
      </c>
      <c r="W93">
        <v>0.2</v>
      </c>
      <c r="X93" t="s">
        <v>196</v>
      </c>
      <c r="Y93" t="s">
        <v>231</v>
      </c>
      <c r="Z93" t="s">
        <v>13</v>
      </c>
      <c r="AA93" t="s">
        <v>4</v>
      </c>
      <c r="AB93">
        <f xml:space="preserve"> COUNTIF(Fact[[#This Row],[Partner.Partner Driven]], "Yes") / COUNTA(Fact[Opportunity ID])</f>
        <v>2.05761316872428E-3</v>
      </c>
      <c r="AC93">
        <f>IFERROR(INDEX(Fact[[#All],[Opportunity ID]],MATCH(X93,Fact[[#All],[salestage.Sales Stage]],0))/INDEX(Fact[[#All],[Opportunity ID]],MATCH(X92,Fact[[#All],[salestage.Sales Stage]],0)), "")</f>
        <v>0.1111111111111111</v>
      </c>
    </row>
    <row r="94" spans="1:29" x14ac:dyDescent="0.3">
      <c r="A94" s="1">
        <v>42053.457638888889</v>
      </c>
      <c r="B94">
        <v>93</v>
      </c>
      <c r="C94">
        <v>1</v>
      </c>
      <c r="D94">
        <v>81</v>
      </c>
      <c r="E94">
        <v>22</v>
      </c>
      <c r="F94">
        <v>21</v>
      </c>
      <c r="G94">
        <v>2540740</v>
      </c>
      <c r="H94" s="5">
        <v>254074</v>
      </c>
      <c r="I94" s="1">
        <v>5</v>
      </c>
      <c r="J94">
        <v>378</v>
      </c>
      <c r="K94">
        <v>2015</v>
      </c>
      <c r="L94">
        <v>2</v>
      </c>
      <c r="M94" t="s">
        <v>509</v>
      </c>
      <c r="N94" t="s">
        <v>8</v>
      </c>
      <c r="O94" t="s">
        <v>998</v>
      </c>
      <c r="P94">
        <v>166</v>
      </c>
      <c r="Q94">
        <v>2</v>
      </c>
      <c r="R94" t="s">
        <v>143</v>
      </c>
      <c r="S94" t="s">
        <v>8</v>
      </c>
      <c r="T94" t="s">
        <v>190</v>
      </c>
      <c r="U94" t="s">
        <v>84</v>
      </c>
      <c r="V94" t="s">
        <v>85</v>
      </c>
      <c r="W94">
        <v>0.1</v>
      </c>
      <c r="X94" t="s">
        <v>195</v>
      </c>
      <c r="Y94" t="s">
        <v>232</v>
      </c>
      <c r="Z94" t="s">
        <v>3</v>
      </c>
      <c r="AA94" t="s">
        <v>4</v>
      </c>
      <c r="AB94">
        <f xml:space="preserve"> COUNTIF(Fact[[#This Row],[Partner.Partner Driven]], "Yes") / COUNTA(Fact[Opportunity ID])</f>
        <v>0</v>
      </c>
      <c r="AC94">
        <f>IFERROR(INDEX(Fact[[#All],[Opportunity ID]],MATCH(X94,Fact[[#All],[salestage.Sales Stage]],0))/INDEX(Fact[[#All],[Opportunity ID]],MATCH(X93,Fact[[#All],[salestage.Sales Stage]],0)), "")</f>
        <v>2</v>
      </c>
    </row>
    <row r="95" spans="1:29" x14ac:dyDescent="0.3">
      <c r="A95" s="1">
        <v>42118.457638888889</v>
      </c>
      <c r="B95">
        <v>94</v>
      </c>
      <c r="C95">
        <v>3</v>
      </c>
      <c r="D95">
        <v>82</v>
      </c>
      <c r="E95">
        <v>31</v>
      </c>
      <c r="F95">
        <v>18</v>
      </c>
      <c r="G95">
        <v>8834695</v>
      </c>
      <c r="H95" s="5">
        <v>3533878</v>
      </c>
      <c r="I95" s="1">
        <v>4</v>
      </c>
      <c r="J95">
        <v>475</v>
      </c>
      <c r="K95">
        <v>2015</v>
      </c>
      <c r="L95">
        <v>4</v>
      </c>
      <c r="M95" t="s">
        <v>510</v>
      </c>
      <c r="N95" t="s">
        <v>8</v>
      </c>
      <c r="O95" t="s">
        <v>999</v>
      </c>
      <c r="P95">
        <v>436</v>
      </c>
      <c r="Q95">
        <v>3</v>
      </c>
      <c r="R95" t="s">
        <v>9</v>
      </c>
      <c r="S95" t="s">
        <v>8</v>
      </c>
      <c r="T95" t="s">
        <v>187</v>
      </c>
      <c r="U95" t="s">
        <v>136</v>
      </c>
      <c r="V95" t="s">
        <v>72</v>
      </c>
      <c r="W95">
        <v>0.4</v>
      </c>
      <c r="X95" t="s">
        <v>197</v>
      </c>
      <c r="Y95" t="s">
        <v>233</v>
      </c>
      <c r="Z95" t="s">
        <v>3</v>
      </c>
      <c r="AA95" t="s">
        <v>9</v>
      </c>
      <c r="AB95">
        <f xml:space="preserve"> COUNTIF(Fact[[#This Row],[Partner.Partner Driven]], "Yes") / COUNTA(Fact[Opportunity ID])</f>
        <v>2.05761316872428E-3</v>
      </c>
      <c r="AC95">
        <f>IFERROR(INDEX(Fact[[#All],[Opportunity ID]],MATCH(X95,Fact[[#All],[salestage.Sales Stage]],0))/INDEX(Fact[[#All],[Opportunity ID]],MATCH(X94,Fact[[#All],[salestage.Sales Stage]],0)), "")</f>
        <v>4.5</v>
      </c>
    </row>
    <row r="96" spans="1:29" x14ac:dyDescent="0.3">
      <c r="A96" s="1">
        <v>42214.25</v>
      </c>
      <c r="B96">
        <v>95</v>
      </c>
      <c r="C96">
        <v>1</v>
      </c>
      <c r="D96">
        <v>83</v>
      </c>
      <c r="E96">
        <v>32</v>
      </c>
      <c r="F96">
        <v>19</v>
      </c>
      <c r="G96">
        <v>10984574</v>
      </c>
      <c r="H96" s="5">
        <v>1098457</v>
      </c>
      <c r="I96" s="1">
        <v>21</v>
      </c>
      <c r="J96">
        <v>523</v>
      </c>
      <c r="K96">
        <v>2015</v>
      </c>
      <c r="L96">
        <v>7</v>
      </c>
      <c r="M96" t="s">
        <v>69</v>
      </c>
      <c r="N96" t="s">
        <v>13</v>
      </c>
      <c r="O96" t="s">
        <v>1000</v>
      </c>
      <c r="P96">
        <v>475</v>
      </c>
      <c r="Q96">
        <v>3</v>
      </c>
      <c r="R96" t="s">
        <v>9</v>
      </c>
      <c r="S96" t="s">
        <v>13</v>
      </c>
      <c r="T96" t="s">
        <v>188</v>
      </c>
      <c r="U96" t="s">
        <v>83</v>
      </c>
      <c r="V96" t="s">
        <v>72</v>
      </c>
      <c r="W96">
        <v>0.1</v>
      </c>
      <c r="X96" t="s">
        <v>195</v>
      </c>
      <c r="Y96" t="s">
        <v>234</v>
      </c>
      <c r="Z96" t="s">
        <v>3</v>
      </c>
      <c r="AA96" t="s">
        <v>6</v>
      </c>
      <c r="AB96">
        <f xml:space="preserve"> COUNTIF(Fact[[#This Row],[Partner.Partner Driven]], "Yes") / COUNTA(Fact[Opportunity ID])</f>
        <v>2.05761316872428E-3</v>
      </c>
      <c r="AC96">
        <f>IFERROR(INDEX(Fact[[#All],[Opportunity ID]],MATCH(X96,Fact[[#All],[salestage.Sales Stage]],0))/INDEX(Fact[[#All],[Opportunity ID]],MATCH(X95,Fact[[#All],[salestage.Sales Stage]],0)), "")</f>
        <v>0.22222222222222221</v>
      </c>
    </row>
    <row r="97" spans="1:29" x14ac:dyDescent="0.3">
      <c r="A97" s="1">
        <v>42241.291666666664</v>
      </c>
      <c r="B97">
        <v>96</v>
      </c>
      <c r="C97">
        <v>1</v>
      </c>
      <c r="D97">
        <v>84</v>
      </c>
      <c r="E97">
        <v>22</v>
      </c>
      <c r="F97">
        <v>3</v>
      </c>
      <c r="G97">
        <v>4419265</v>
      </c>
      <c r="H97" s="5">
        <v>441927</v>
      </c>
      <c r="I97" s="1">
        <v>6</v>
      </c>
      <c r="J97">
        <v>565</v>
      </c>
      <c r="K97">
        <v>2015</v>
      </c>
      <c r="L97">
        <v>8</v>
      </c>
      <c r="M97" t="s">
        <v>513</v>
      </c>
      <c r="N97" t="s">
        <v>8</v>
      </c>
      <c r="O97" t="s">
        <v>1001</v>
      </c>
      <c r="P97">
        <v>267</v>
      </c>
      <c r="Q97">
        <v>2</v>
      </c>
      <c r="R97" t="s">
        <v>143</v>
      </c>
      <c r="S97" t="s">
        <v>8</v>
      </c>
      <c r="T97" t="s">
        <v>172</v>
      </c>
      <c r="U97" t="s">
        <v>84</v>
      </c>
      <c r="V97" t="s">
        <v>85</v>
      </c>
      <c r="W97">
        <v>0.1</v>
      </c>
      <c r="X97" t="s">
        <v>195</v>
      </c>
      <c r="Y97" t="s">
        <v>235</v>
      </c>
      <c r="Z97" t="s">
        <v>3</v>
      </c>
      <c r="AA97" t="s">
        <v>9</v>
      </c>
      <c r="AB97">
        <f xml:space="preserve"> COUNTIF(Fact[[#This Row],[Partner.Partner Driven]], "Yes") / COUNTA(Fact[Opportunity ID])</f>
        <v>0</v>
      </c>
      <c r="AC97">
        <f>IFERROR(INDEX(Fact[[#All],[Opportunity ID]],MATCH(X97,Fact[[#All],[salestage.Sales Stage]],0))/INDEX(Fact[[#All],[Opportunity ID]],MATCH(X96,Fact[[#All],[salestage.Sales Stage]],0)), "")</f>
        <v>1</v>
      </c>
    </row>
    <row r="98" spans="1:29" x14ac:dyDescent="0.3">
      <c r="A98" s="1">
        <v>42185.457638888889</v>
      </c>
      <c r="B98">
        <v>97</v>
      </c>
      <c r="C98">
        <v>2</v>
      </c>
      <c r="D98">
        <v>33</v>
      </c>
      <c r="E98">
        <v>8</v>
      </c>
      <c r="F98">
        <v>20</v>
      </c>
      <c r="G98">
        <v>10628746</v>
      </c>
      <c r="H98" s="5">
        <v>2125749</v>
      </c>
      <c r="I98" s="1">
        <v>21</v>
      </c>
      <c r="J98">
        <v>525</v>
      </c>
      <c r="K98">
        <v>2015</v>
      </c>
      <c r="L98">
        <v>6</v>
      </c>
      <c r="M98" t="s">
        <v>70</v>
      </c>
      <c r="N98" t="s">
        <v>13</v>
      </c>
      <c r="O98" t="s">
        <v>1002</v>
      </c>
      <c r="P98">
        <v>472</v>
      </c>
      <c r="Q98">
        <v>3</v>
      </c>
      <c r="R98" t="s">
        <v>9</v>
      </c>
      <c r="S98" t="s">
        <v>13</v>
      </c>
      <c r="T98" t="s">
        <v>189</v>
      </c>
      <c r="U98" t="s">
        <v>526</v>
      </c>
      <c r="V98" t="s">
        <v>72</v>
      </c>
      <c r="W98">
        <v>0.2</v>
      </c>
      <c r="X98" t="s">
        <v>196</v>
      </c>
      <c r="Y98" t="s">
        <v>40</v>
      </c>
      <c r="Z98" t="s">
        <v>13</v>
      </c>
      <c r="AA98" t="s">
        <v>4</v>
      </c>
      <c r="AB98">
        <f xml:space="preserve"> COUNTIF(Fact[[#This Row],[Partner.Partner Driven]], "Yes") / COUNTA(Fact[Opportunity ID])</f>
        <v>2.05761316872428E-3</v>
      </c>
      <c r="AC98">
        <f>IFERROR(INDEX(Fact[[#All],[Opportunity ID]],MATCH(X98,Fact[[#All],[salestage.Sales Stage]],0))/INDEX(Fact[[#All],[Opportunity ID]],MATCH(X97,Fact[[#All],[salestage.Sales Stage]],0)), "")</f>
        <v>0.5</v>
      </c>
    </row>
    <row r="99" spans="1:29" x14ac:dyDescent="0.3">
      <c r="A99" s="1">
        <v>42185.457638888889</v>
      </c>
      <c r="B99">
        <v>98</v>
      </c>
      <c r="C99">
        <v>1</v>
      </c>
      <c r="D99">
        <v>33</v>
      </c>
      <c r="E99">
        <v>8</v>
      </c>
      <c r="F99">
        <v>11</v>
      </c>
      <c r="G99">
        <v>2385623</v>
      </c>
      <c r="H99" s="5">
        <v>238562</v>
      </c>
      <c r="I99" s="1">
        <v>14</v>
      </c>
      <c r="J99">
        <v>473</v>
      </c>
      <c r="K99">
        <v>2015</v>
      </c>
      <c r="L99">
        <v>6</v>
      </c>
      <c r="M99" t="s">
        <v>70</v>
      </c>
      <c r="N99" t="s">
        <v>8</v>
      </c>
      <c r="O99" t="s">
        <v>1003</v>
      </c>
      <c r="P99">
        <v>158</v>
      </c>
      <c r="Q99">
        <v>1</v>
      </c>
      <c r="R99" t="s">
        <v>138</v>
      </c>
      <c r="S99" t="s">
        <v>8</v>
      </c>
      <c r="T99" t="s">
        <v>180</v>
      </c>
      <c r="U99" t="s">
        <v>526</v>
      </c>
      <c r="V99" t="s">
        <v>72</v>
      </c>
      <c r="W99">
        <v>0.1</v>
      </c>
      <c r="X99" t="s">
        <v>195</v>
      </c>
      <c r="Y99" t="s">
        <v>40</v>
      </c>
      <c r="Z99" t="s">
        <v>13</v>
      </c>
      <c r="AA99" t="s">
        <v>4</v>
      </c>
      <c r="AB99">
        <f xml:space="preserve"> COUNTIF(Fact[[#This Row],[Partner.Partner Driven]], "Yes") / COUNTA(Fact[Opportunity ID])</f>
        <v>2.05761316872428E-3</v>
      </c>
      <c r="AC99">
        <f>IFERROR(INDEX(Fact[[#All],[Opportunity ID]],MATCH(X99,Fact[[#All],[salestage.Sales Stage]],0))/INDEX(Fact[[#All],[Opportunity ID]],MATCH(X98,Fact[[#All],[salestage.Sales Stage]],0)), "")</f>
        <v>2</v>
      </c>
    </row>
    <row r="100" spans="1:29" x14ac:dyDescent="0.3">
      <c r="A100" s="1">
        <v>42051.457638888889</v>
      </c>
      <c r="B100">
        <v>99</v>
      </c>
      <c r="C100">
        <v>5</v>
      </c>
      <c r="D100">
        <v>85</v>
      </c>
      <c r="E100">
        <v>33</v>
      </c>
      <c r="F100">
        <v>13</v>
      </c>
      <c r="G100">
        <v>5208670</v>
      </c>
      <c r="H100" s="5">
        <v>4166936</v>
      </c>
      <c r="I100" s="1">
        <v>13</v>
      </c>
      <c r="J100">
        <v>368</v>
      </c>
      <c r="K100">
        <v>2015</v>
      </c>
      <c r="L100">
        <v>2</v>
      </c>
      <c r="M100" t="s">
        <v>509</v>
      </c>
      <c r="N100" t="s">
        <v>8</v>
      </c>
      <c r="O100" t="s">
        <v>1004</v>
      </c>
      <c r="P100">
        <v>305</v>
      </c>
      <c r="Q100">
        <v>2</v>
      </c>
      <c r="R100" t="s">
        <v>143</v>
      </c>
      <c r="S100" t="s">
        <v>8</v>
      </c>
      <c r="T100" t="s">
        <v>182</v>
      </c>
      <c r="U100" t="s">
        <v>539</v>
      </c>
      <c r="V100" t="s">
        <v>72</v>
      </c>
      <c r="W100">
        <v>0.8</v>
      </c>
      <c r="X100" t="s">
        <v>199</v>
      </c>
      <c r="Y100" t="s">
        <v>236</v>
      </c>
      <c r="Z100" t="s">
        <v>3</v>
      </c>
      <c r="AA100" t="s">
        <v>9</v>
      </c>
      <c r="AB100">
        <f xml:space="preserve"> COUNTIF(Fact[[#This Row],[Partner.Partner Driven]], "Yes") / COUNTA(Fact[Opportunity ID])</f>
        <v>2.05761316872428E-3</v>
      </c>
      <c r="AC100">
        <f>IFERROR(INDEX(Fact[[#All],[Opportunity ID]],MATCH(X100,Fact[[#All],[salestage.Sales Stage]],0))/INDEX(Fact[[#All],[Opportunity ID]],MATCH(X99,Fact[[#All],[salestage.Sales Stage]],0)), "")</f>
        <v>27</v>
      </c>
    </row>
    <row r="101" spans="1:29" x14ac:dyDescent="0.3">
      <c r="A101" s="1">
        <v>42097.457638888889</v>
      </c>
      <c r="B101">
        <v>100</v>
      </c>
      <c r="C101">
        <v>3</v>
      </c>
      <c r="D101">
        <v>23</v>
      </c>
      <c r="E101">
        <v>22</v>
      </c>
      <c r="F101">
        <v>19</v>
      </c>
      <c r="G101">
        <v>7021112</v>
      </c>
      <c r="H101" s="5">
        <v>2808445</v>
      </c>
      <c r="I101" s="1">
        <v>2</v>
      </c>
      <c r="J101">
        <v>397</v>
      </c>
      <c r="K101">
        <v>2015</v>
      </c>
      <c r="L101">
        <v>4</v>
      </c>
      <c r="M101" t="s">
        <v>510</v>
      </c>
      <c r="N101" t="s">
        <v>13</v>
      </c>
      <c r="O101" t="s">
        <v>140</v>
      </c>
      <c r="P101">
        <v>387</v>
      </c>
      <c r="Q101">
        <v>3</v>
      </c>
      <c r="R101" t="s">
        <v>9</v>
      </c>
      <c r="S101" t="s">
        <v>13</v>
      </c>
      <c r="T101" t="s">
        <v>188</v>
      </c>
      <c r="U101" t="s">
        <v>84</v>
      </c>
      <c r="V101" t="s">
        <v>85</v>
      </c>
      <c r="W101">
        <v>0.4</v>
      </c>
      <c r="X101" t="s">
        <v>197</v>
      </c>
      <c r="Y101" t="s">
        <v>30</v>
      </c>
      <c r="Z101" t="s">
        <v>8</v>
      </c>
      <c r="AA101" t="s">
        <v>9</v>
      </c>
      <c r="AB101">
        <f xml:space="preserve"> COUNTIF(Fact[[#This Row],[Partner.Partner Driven]], "Yes") / COUNTA(Fact[Opportunity ID])</f>
        <v>0</v>
      </c>
      <c r="AC101">
        <f>IFERROR(INDEX(Fact[[#All],[Opportunity ID]],MATCH(X101,Fact[[#All],[salestage.Sales Stage]],0))/INDEX(Fact[[#All],[Opportunity ID]],MATCH(X100,Fact[[#All],[salestage.Sales Stage]],0)), "")</f>
        <v>0.16666666666666666</v>
      </c>
    </row>
    <row r="102" spans="1:29" x14ac:dyDescent="0.3">
      <c r="A102" s="1">
        <v>42180.457638888889</v>
      </c>
      <c r="B102">
        <v>101</v>
      </c>
      <c r="C102">
        <v>1</v>
      </c>
      <c r="D102">
        <v>86</v>
      </c>
      <c r="E102">
        <v>3</v>
      </c>
      <c r="F102">
        <v>10</v>
      </c>
      <c r="G102">
        <v>1097304</v>
      </c>
      <c r="H102" s="5">
        <v>109730</v>
      </c>
      <c r="I102" s="1">
        <v>16</v>
      </c>
      <c r="J102">
        <v>466</v>
      </c>
      <c r="K102">
        <v>2015</v>
      </c>
      <c r="L102">
        <v>6</v>
      </c>
      <c r="M102" t="s">
        <v>70</v>
      </c>
      <c r="N102" t="s">
        <v>3</v>
      </c>
      <c r="O102" t="s">
        <v>141</v>
      </c>
      <c r="P102">
        <v>77</v>
      </c>
      <c r="Q102">
        <v>1</v>
      </c>
      <c r="R102" t="s">
        <v>138</v>
      </c>
      <c r="S102" t="s">
        <v>3</v>
      </c>
      <c r="T102" t="s">
        <v>179</v>
      </c>
      <c r="U102" t="s">
        <v>115</v>
      </c>
      <c r="V102" t="s">
        <v>72</v>
      </c>
      <c r="W102">
        <v>0.1</v>
      </c>
      <c r="X102" t="s">
        <v>195</v>
      </c>
      <c r="Y102" t="s">
        <v>237</v>
      </c>
      <c r="Z102" t="s">
        <v>3</v>
      </c>
      <c r="AA102" t="s">
        <v>9</v>
      </c>
      <c r="AB102">
        <f xml:space="preserve"> COUNTIF(Fact[[#This Row],[Partner.Partner Driven]], "Yes") / COUNTA(Fact[Opportunity ID])</f>
        <v>2.05761316872428E-3</v>
      </c>
      <c r="AC102">
        <f>IFERROR(INDEX(Fact[[#All],[Opportunity ID]],MATCH(X102,Fact[[#All],[salestage.Sales Stage]],0))/INDEX(Fact[[#All],[Opportunity ID]],MATCH(X101,Fact[[#All],[salestage.Sales Stage]],0)), "")</f>
        <v>0.22222222222222221</v>
      </c>
    </row>
    <row r="103" spans="1:29" x14ac:dyDescent="0.3">
      <c r="A103" s="1">
        <v>42216.333333333336</v>
      </c>
      <c r="B103">
        <v>102</v>
      </c>
      <c r="C103">
        <v>2</v>
      </c>
      <c r="D103">
        <v>87</v>
      </c>
      <c r="E103">
        <v>34</v>
      </c>
      <c r="F103">
        <v>2</v>
      </c>
      <c r="G103">
        <v>5292273</v>
      </c>
      <c r="H103" s="5">
        <v>1058455</v>
      </c>
      <c r="I103" s="1">
        <v>22</v>
      </c>
      <c r="J103">
        <v>555</v>
      </c>
      <c r="K103">
        <v>2015</v>
      </c>
      <c r="L103">
        <v>7</v>
      </c>
      <c r="M103" t="s">
        <v>69</v>
      </c>
      <c r="N103" t="s">
        <v>13</v>
      </c>
      <c r="O103" t="s">
        <v>142</v>
      </c>
      <c r="P103">
        <v>308</v>
      </c>
      <c r="Q103">
        <v>2</v>
      </c>
      <c r="R103" t="s">
        <v>143</v>
      </c>
      <c r="S103" t="s">
        <v>13</v>
      </c>
      <c r="T103" t="s">
        <v>171</v>
      </c>
      <c r="U103" t="s">
        <v>80</v>
      </c>
      <c r="V103" t="s">
        <v>72</v>
      </c>
      <c r="W103">
        <v>0.2</v>
      </c>
      <c r="X103" t="s">
        <v>196</v>
      </c>
      <c r="Y103" t="s">
        <v>238</v>
      </c>
      <c r="Z103" t="s">
        <v>3</v>
      </c>
      <c r="AA103" t="s">
        <v>6</v>
      </c>
      <c r="AB103">
        <f xml:space="preserve"> COUNTIF(Fact[[#This Row],[Partner.Partner Driven]], "Yes") / COUNTA(Fact[Opportunity ID])</f>
        <v>2.05761316872428E-3</v>
      </c>
      <c r="AC103">
        <f>IFERROR(INDEX(Fact[[#All],[Opportunity ID]],MATCH(X103,Fact[[#All],[salestage.Sales Stage]],0))/INDEX(Fact[[#All],[Opportunity ID]],MATCH(X102,Fact[[#All],[salestage.Sales Stage]],0)), "")</f>
        <v>0.5</v>
      </c>
    </row>
    <row r="104" spans="1:29" x14ac:dyDescent="0.3">
      <c r="A104" s="1">
        <v>42277.457638888889</v>
      </c>
      <c r="B104">
        <v>103</v>
      </c>
      <c r="C104">
        <v>2</v>
      </c>
      <c r="D104">
        <v>88</v>
      </c>
      <c r="E104">
        <v>22</v>
      </c>
      <c r="F104">
        <v>17</v>
      </c>
      <c r="G104">
        <v>1264619</v>
      </c>
      <c r="H104" s="5">
        <v>252924</v>
      </c>
      <c r="I104" s="1">
        <v>10</v>
      </c>
      <c r="J104">
        <v>416</v>
      </c>
      <c r="K104">
        <v>2015</v>
      </c>
      <c r="L104">
        <v>9</v>
      </c>
      <c r="M104" t="s">
        <v>507</v>
      </c>
      <c r="N104" t="s">
        <v>13</v>
      </c>
      <c r="O104" t="s">
        <v>144</v>
      </c>
      <c r="P104">
        <v>85</v>
      </c>
      <c r="Q104">
        <v>1</v>
      </c>
      <c r="R104" t="s">
        <v>138</v>
      </c>
      <c r="S104" t="s">
        <v>13</v>
      </c>
      <c r="T104" t="s">
        <v>186</v>
      </c>
      <c r="U104" t="s">
        <v>84</v>
      </c>
      <c r="V104" t="s">
        <v>85</v>
      </c>
      <c r="W104">
        <v>0.2</v>
      </c>
      <c r="X104" t="s">
        <v>196</v>
      </c>
      <c r="Y104" t="s">
        <v>239</v>
      </c>
      <c r="Z104" t="s">
        <v>8</v>
      </c>
      <c r="AA104" t="s">
        <v>9</v>
      </c>
      <c r="AB104">
        <f xml:space="preserve"> COUNTIF(Fact[[#This Row],[Partner.Partner Driven]], "Yes") / COUNTA(Fact[Opportunity ID])</f>
        <v>0</v>
      </c>
      <c r="AC104">
        <f>IFERROR(INDEX(Fact[[#All],[Opportunity ID]],MATCH(X104,Fact[[#All],[salestage.Sales Stage]],0))/INDEX(Fact[[#All],[Opportunity ID]],MATCH(X103,Fact[[#All],[salestage.Sales Stage]],0)), "")</f>
        <v>1</v>
      </c>
    </row>
    <row r="105" spans="1:29" x14ac:dyDescent="0.3">
      <c r="A105" s="1">
        <v>42369.457638888889</v>
      </c>
      <c r="B105">
        <v>104</v>
      </c>
      <c r="C105">
        <v>1</v>
      </c>
      <c r="D105">
        <v>89</v>
      </c>
      <c r="E105">
        <v>8</v>
      </c>
      <c r="F105">
        <v>20</v>
      </c>
      <c r="G105">
        <v>4047326</v>
      </c>
      <c r="H105" s="5">
        <v>404733</v>
      </c>
      <c r="I105" s="1">
        <v>5</v>
      </c>
      <c r="J105">
        <v>513</v>
      </c>
      <c r="K105">
        <v>2015</v>
      </c>
      <c r="L105">
        <v>12</v>
      </c>
      <c r="M105" t="s">
        <v>508</v>
      </c>
      <c r="N105" t="s">
        <v>8</v>
      </c>
      <c r="O105" t="s">
        <v>145</v>
      </c>
      <c r="P105">
        <v>246</v>
      </c>
      <c r="Q105">
        <v>2</v>
      </c>
      <c r="R105" t="s">
        <v>143</v>
      </c>
      <c r="S105" t="s">
        <v>8</v>
      </c>
      <c r="T105" t="s">
        <v>189</v>
      </c>
      <c r="U105" t="s">
        <v>526</v>
      </c>
      <c r="V105" t="s">
        <v>72</v>
      </c>
      <c r="W105">
        <v>0.1</v>
      </c>
      <c r="X105" t="s">
        <v>195</v>
      </c>
      <c r="Y105" t="s">
        <v>240</v>
      </c>
      <c r="Z105" t="s">
        <v>3</v>
      </c>
      <c r="AA105" t="s">
        <v>9</v>
      </c>
      <c r="AB105">
        <f xml:space="preserve"> COUNTIF(Fact[[#This Row],[Partner.Partner Driven]], "Yes") / COUNTA(Fact[Opportunity ID])</f>
        <v>2.05761316872428E-3</v>
      </c>
      <c r="AC105">
        <f>IFERROR(INDEX(Fact[[#All],[Opportunity ID]],MATCH(X105,Fact[[#All],[salestage.Sales Stage]],0))/INDEX(Fact[[#All],[Opportunity ID]],MATCH(X104,Fact[[#All],[salestage.Sales Stage]],0)), "")</f>
        <v>2</v>
      </c>
    </row>
    <row r="106" spans="1:29" x14ac:dyDescent="0.3">
      <c r="A106" s="1">
        <v>42109.457638888889</v>
      </c>
      <c r="B106">
        <v>105</v>
      </c>
      <c r="C106">
        <v>1</v>
      </c>
      <c r="D106">
        <v>90</v>
      </c>
      <c r="E106">
        <v>8</v>
      </c>
      <c r="F106">
        <v>18</v>
      </c>
      <c r="G106">
        <v>6531823</v>
      </c>
      <c r="H106" s="5">
        <v>653182</v>
      </c>
      <c r="I106" s="1">
        <v>2</v>
      </c>
      <c r="J106">
        <v>409</v>
      </c>
      <c r="K106">
        <v>2015</v>
      </c>
      <c r="L106">
        <v>4</v>
      </c>
      <c r="M106" t="s">
        <v>510</v>
      </c>
      <c r="N106" t="s">
        <v>8</v>
      </c>
      <c r="O106" t="s">
        <v>146</v>
      </c>
      <c r="P106">
        <v>369</v>
      </c>
      <c r="Q106">
        <v>3</v>
      </c>
      <c r="R106" t="s">
        <v>9</v>
      </c>
      <c r="S106" t="s">
        <v>8</v>
      </c>
      <c r="T106" t="s">
        <v>187</v>
      </c>
      <c r="U106" t="s">
        <v>526</v>
      </c>
      <c r="V106" t="s">
        <v>72</v>
      </c>
      <c r="W106">
        <v>0.1</v>
      </c>
      <c r="X106" t="s">
        <v>195</v>
      </c>
      <c r="Y106" t="s">
        <v>241</v>
      </c>
      <c r="Z106" t="s">
        <v>3</v>
      </c>
      <c r="AA106" t="s">
        <v>4</v>
      </c>
      <c r="AB106">
        <f xml:space="preserve"> COUNTIF(Fact[[#This Row],[Partner.Partner Driven]], "Yes") / COUNTA(Fact[Opportunity ID])</f>
        <v>2.05761316872428E-3</v>
      </c>
      <c r="AC106">
        <f>IFERROR(INDEX(Fact[[#All],[Opportunity ID]],MATCH(X106,Fact[[#All],[salestage.Sales Stage]],0))/INDEX(Fact[[#All],[Opportunity ID]],MATCH(X105,Fact[[#All],[salestage.Sales Stage]],0)), "")</f>
        <v>1</v>
      </c>
    </row>
    <row r="107" spans="1:29" x14ac:dyDescent="0.3">
      <c r="A107" s="1">
        <v>42369.457638888889</v>
      </c>
      <c r="B107">
        <v>106</v>
      </c>
      <c r="C107">
        <v>1</v>
      </c>
      <c r="D107">
        <v>91</v>
      </c>
      <c r="E107">
        <v>5</v>
      </c>
      <c r="F107">
        <v>5</v>
      </c>
      <c r="G107">
        <v>4950078</v>
      </c>
      <c r="H107" s="5">
        <v>495008</v>
      </c>
      <c r="I107" s="1">
        <v>15</v>
      </c>
      <c r="J107">
        <v>472</v>
      </c>
      <c r="K107">
        <v>2015</v>
      </c>
      <c r="L107">
        <v>12</v>
      </c>
      <c r="M107" t="s">
        <v>508</v>
      </c>
      <c r="N107" t="s">
        <v>13</v>
      </c>
      <c r="O107" t="s">
        <v>147</v>
      </c>
      <c r="P107">
        <v>289</v>
      </c>
      <c r="Q107">
        <v>2</v>
      </c>
      <c r="R107" t="s">
        <v>143</v>
      </c>
      <c r="S107" t="s">
        <v>13</v>
      </c>
      <c r="T107" t="s">
        <v>174</v>
      </c>
      <c r="U107" t="s">
        <v>129</v>
      </c>
      <c r="V107" t="s">
        <v>72</v>
      </c>
      <c r="W107">
        <v>0.1</v>
      </c>
      <c r="X107" t="s">
        <v>195</v>
      </c>
      <c r="Y107" t="s">
        <v>242</v>
      </c>
      <c r="Z107" t="s">
        <v>13</v>
      </c>
      <c r="AA107" t="s">
        <v>4</v>
      </c>
      <c r="AB107">
        <f xml:space="preserve"> COUNTIF(Fact[[#This Row],[Partner.Partner Driven]], "Yes") / COUNTA(Fact[Opportunity ID])</f>
        <v>2.05761316872428E-3</v>
      </c>
      <c r="AC107">
        <f>IFERROR(INDEX(Fact[[#All],[Opportunity ID]],MATCH(X107,Fact[[#All],[salestage.Sales Stage]],0))/INDEX(Fact[[#All],[Opportunity ID]],MATCH(X106,Fact[[#All],[salestage.Sales Stage]],0)), "")</f>
        <v>1</v>
      </c>
    </row>
    <row r="108" spans="1:29" x14ac:dyDescent="0.3">
      <c r="A108" s="1">
        <v>42247.457638888889</v>
      </c>
      <c r="B108">
        <v>107</v>
      </c>
      <c r="C108">
        <v>1</v>
      </c>
      <c r="D108">
        <v>92</v>
      </c>
      <c r="E108">
        <v>35</v>
      </c>
      <c r="F108">
        <v>14</v>
      </c>
      <c r="G108">
        <v>5786740</v>
      </c>
      <c r="H108" s="5">
        <v>578674</v>
      </c>
      <c r="I108" s="1">
        <v>25</v>
      </c>
      <c r="J108">
        <v>524</v>
      </c>
      <c r="K108">
        <v>2015</v>
      </c>
      <c r="L108">
        <v>8</v>
      </c>
      <c r="M108" t="s">
        <v>513</v>
      </c>
      <c r="N108" t="s">
        <v>8</v>
      </c>
      <c r="O108" t="s">
        <v>148</v>
      </c>
      <c r="P108">
        <v>333</v>
      </c>
      <c r="Q108">
        <v>3</v>
      </c>
      <c r="R108" t="s">
        <v>9</v>
      </c>
      <c r="S108" t="s">
        <v>8</v>
      </c>
      <c r="T108" t="s">
        <v>183</v>
      </c>
      <c r="U108" t="s">
        <v>537</v>
      </c>
      <c r="V108" t="s">
        <v>72</v>
      </c>
      <c r="W108">
        <v>0.1</v>
      </c>
      <c r="X108" t="s">
        <v>195</v>
      </c>
      <c r="Y108" t="s">
        <v>243</v>
      </c>
      <c r="Z108" t="s">
        <v>13</v>
      </c>
      <c r="AA108" t="s">
        <v>6</v>
      </c>
      <c r="AB108">
        <f xml:space="preserve"> COUNTIF(Fact[[#This Row],[Partner.Partner Driven]], "Yes") / COUNTA(Fact[Opportunity ID])</f>
        <v>2.05761316872428E-3</v>
      </c>
      <c r="AC108">
        <f>IFERROR(INDEX(Fact[[#All],[Opportunity ID]],MATCH(X108,Fact[[#All],[salestage.Sales Stage]],0))/INDEX(Fact[[#All],[Opportunity ID]],MATCH(X107,Fact[[#All],[salestage.Sales Stage]],0)), "")</f>
        <v>1</v>
      </c>
    </row>
    <row r="109" spans="1:29" x14ac:dyDescent="0.3">
      <c r="A109" s="1">
        <v>42135.457638888889</v>
      </c>
      <c r="B109">
        <v>108</v>
      </c>
      <c r="C109">
        <v>1</v>
      </c>
      <c r="D109">
        <v>51</v>
      </c>
      <c r="E109">
        <v>36</v>
      </c>
      <c r="F109">
        <v>20</v>
      </c>
      <c r="G109">
        <v>11678946</v>
      </c>
      <c r="H109" s="5">
        <v>1167895</v>
      </c>
      <c r="I109" s="1">
        <v>1</v>
      </c>
      <c r="J109">
        <v>375</v>
      </c>
      <c r="K109">
        <v>2015</v>
      </c>
      <c r="L109">
        <v>5</v>
      </c>
      <c r="M109" t="s">
        <v>68</v>
      </c>
      <c r="N109" t="s">
        <v>3</v>
      </c>
      <c r="O109" t="s">
        <v>149</v>
      </c>
      <c r="P109">
        <v>481</v>
      </c>
      <c r="Q109">
        <v>3</v>
      </c>
      <c r="R109" t="s">
        <v>9</v>
      </c>
      <c r="S109" t="s">
        <v>3</v>
      </c>
      <c r="T109" t="s">
        <v>189</v>
      </c>
      <c r="U109" t="s">
        <v>119</v>
      </c>
      <c r="V109" t="s">
        <v>72</v>
      </c>
      <c r="W109">
        <v>0.1</v>
      </c>
      <c r="X109" t="s">
        <v>195</v>
      </c>
      <c r="Y109" t="s">
        <v>202</v>
      </c>
      <c r="Z109" t="s">
        <v>3</v>
      </c>
      <c r="AA109" t="s">
        <v>4</v>
      </c>
      <c r="AB109">
        <f xml:space="preserve"> COUNTIF(Fact[[#This Row],[Partner.Partner Driven]], "Yes") / COUNTA(Fact[Opportunity ID])</f>
        <v>2.05761316872428E-3</v>
      </c>
      <c r="AC109">
        <f>IFERROR(INDEX(Fact[[#All],[Opportunity ID]],MATCH(X109,Fact[[#All],[salestage.Sales Stage]],0))/INDEX(Fact[[#All],[Opportunity ID]],MATCH(X108,Fact[[#All],[salestage.Sales Stage]],0)), "")</f>
        <v>1</v>
      </c>
    </row>
    <row r="110" spans="1:29" x14ac:dyDescent="0.3">
      <c r="A110" s="1">
        <v>42369.457638888889</v>
      </c>
      <c r="B110">
        <v>109</v>
      </c>
      <c r="C110">
        <v>1</v>
      </c>
      <c r="D110">
        <v>93</v>
      </c>
      <c r="E110">
        <v>8</v>
      </c>
      <c r="F110">
        <v>19</v>
      </c>
      <c r="G110">
        <v>8938421</v>
      </c>
      <c r="H110" s="5">
        <v>893842</v>
      </c>
      <c r="I110" s="1">
        <v>1</v>
      </c>
      <c r="J110">
        <v>425</v>
      </c>
      <c r="K110">
        <v>2015</v>
      </c>
      <c r="L110">
        <v>12</v>
      </c>
      <c r="M110" t="s">
        <v>508</v>
      </c>
      <c r="N110" t="s">
        <v>8</v>
      </c>
      <c r="O110" t="s">
        <v>150</v>
      </c>
      <c r="P110">
        <v>439</v>
      </c>
      <c r="Q110">
        <v>3</v>
      </c>
      <c r="R110" t="s">
        <v>9</v>
      </c>
      <c r="S110" t="s">
        <v>8</v>
      </c>
      <c r="T110" t="s">
        <v>188</v>
      </c>
      <c r="U110" t="s">
        <v>526</v>
      </c>
      <c r="V110" t="s">
        <v>72</v>
      </c>
      <c r="W110">
        <v>0.1</v>
      </c>
      <c r="X110" t="s">
        <v>195</v>
      </c>
      <c r="Y110" t="s">
        <v>244</v>
      </c>
      <c r="Z110" t="s">
        <v>3</v>
      </c>
      <c r="AA110" t="s">
        <v>4</v>
      </c>
      <c r="AB110">
        <f xml:space="preserve"> COUNTIF(Fact[[#This Row],[Partner.Partner Driven]], "Yes") / COUNTA(Fact[Opportunity ID])</f>
        <v>2.05761316872428E-3</v>
      </c>
      <c r="AC110">
        <f>IFERROR(INDEX(Fact[[#All],[Opportunity ID]],MATCH(X110,Fact[[#All],[salestage.Sales Stage]],0))/INDEX(Fact[[#All],[Opportunity ID]],MATCH(X109,Fact[[#All],[salestage.Sales Stage]],0)), "")</f>
        <v>1</v>
      </c>
    </row>
    <row r="111" spans="1:29" x14ac:dyDescent="0.3">
      <c r="A111" s="1">
        <v>42014.457638888889</v>
      </c>
      <c r="B111">
        <v>110</v>
      </c>
      <c r="C111">
        <v>5</v>
      </c>
      <c r="D111">
        <v>94</v>
      </c>
      <c r="E111">
        <v>22</v>
      </c>
      <c r="F111">
        <v>12</v>
      </c>
      <c r="G111">
        <v>5769858</v>
      </c>
      <c r="H111" s="5">
        <v>4615886</v>
      </c>
      <c r="I111" s="1">
        <v>9</v>
      </c>
      <c r="J111">
        <v>366</v>
      </c>
      <c r="K111">
        <v>2015</v>
      </c>
      <c r="L111">
        <v>1</v>
      </c>
      <c r="M111" t="s">
        <v>511</v>
      </c>
      <c r="N111" t="s">
        <v>8</v>
      </c>
      <c r="O111" t="s">
        <v>152</v>
      </c>
      <c r="P111">
        <v>331</v>
      </c>
      <c r="Q111">
        <v>3</v>
      </c>
      <c r="R111" t="s">
        <v>9</v>
      </c>
      <c r="S111" t="s">
        <v>8</v>
      </c>
      <c r="T111" t="s">
        <v>181</v>
      </c>
      <c r="U111" t="s">
        <v>84</v>
      </c>
      <c r="V111" t="s">
        <v>85</v>
      </c>
      <c r="W111">
        <v>0.8</v>
      </c>
      <c r="X111" t="s">
        <v>199</v>
      </c>
      <c r="Y111" t="s">
        <v>245</v>
      </c>
      <c r="Z111" t="s">
        <v>3</v>
      </c>
      <c r="AA111" t="s">
        <v>4</v>
      </c>
      <c r="AB111">
        <f xml:space="preserve"> COUNTIF(Fact[[#This Row],[Partner.Partner Driven]], "Yes") / COUNTA(Fact[Opportunity ID])</f>
        <v>0</v>
      </c>
      <c r="AC111">
        <f>IFERROR(INDEX(Fact[[#All],[Opportunity ID]],MATCH(X111,Fact[[#All],[salestage.Sales Stage]],0))/INDEX(Fact[[#All],[Opportunity ID]],MATCH(X110,Fact[[#All],[salestage.Sales Stage]],0)), "")</f>
        <v>27</v>
      </c>
    </row>
    <row r="112" spans="1:29" x14ac:dyDescent="0.3">
      <c r="A112" s="1">
        <v>42089.457638888889</v>
      </c>
      <c r="B112">
        <v>111</v>
      </c>
      <c r="C112">
        <v>3</v>
      </c>
      <c r="D112">
        <v>62</v>
      </c>
      <c r="E112">
        <v>8</v>
      </c>
      <c r="F112">
        <v>17</v>
      </c>
      <c r="G112">
        <v>7750823</v>
      </c>
      <c r="H112" s="5">
        <v>3100329</v>
      </c>
      <c r="I112" s="1">
        <v>6</v>
      </c>
      <c r="J112">
        <v>385</v>
      </c>
      <c r="K112">
        <v>2015</v>
      </c>
      <c r="L112">
        <v>3</v>
      </c>
      <c r="M112" t="s">
        <v>512</v>
      </c>
      <c r="N112" t="s">
        <v>8</v>
      </c>
      <c r="O112" t="s">
        <v>153</v>
      </c>
      <c r="P112">
        <v>409</v>
      </c>
      <c r="Q112">
        <v>3</v>
      </c>
      <c r="R112" t="s">
        <v>9</v>
      </c>
      <c r="S112" t="s">
        <v>8</v>
      </c>
      <c r="T112" t="s">
        <v>186</v>
      </c>
      <c r="U112" t="s">
        <v>526</v>
      </c>
      <c r="V112" t="s">
        <v>72</v>
      </c>
      <c r="W112">
        <v>0.4</v>
      </c>
      <c r="X112" t="s">
        <v>197</v>
      </c>
      <c r="Y112" t="s">
        <v>213</v>
      </c>
      <c r="Z112" t="s">
        <v>3</v>
      </c>
      <c r="AA112" t="s">
        <v>4</v>
      </c>
      <c r="AB112">
        <f xml:space="preserve"> COUNTIF(Fact[[#This Row],[Partner.Partner Driven]], "Yes") / COUNTA(Fact[Opportunity ID])</f>
        <v>2.05761316872428E-3</v>
      </c>
      <c r="AC112">
        <f>IFERROR(INDEX(Fact[[#All],[Opportunity ID]],MATCH(X112,Fact[[#All],[salestage.Sales Stage]],0))/INDEX(Fact[[#All],[Opportunity ID]],MATCH(X111,Fact[[#All],[salestage.Sales Stage]],0)), "")</f>
        <v>0.16666666666666666</v>
      </c>
    </row>
    <row r="113" spans="1:29" x14ac:dyDescent="0.3">
      <c r="A113" s="1">
        <v>42241.291666666664</v>
      </c>
      <c r="B113">
        <v>112</v>
      </c>
      <c r="C113">
        <v>1</v>
      </c>
      <c r="D113">
        <v>95</v>
      </c>
      <c r="E113">
        <v>37</v>
      </c>
      <c r="F113">
        <v>8</v>
      </c>
      <c r="G113">
        <v>425004</v>
      </c>
      <c r="H113" s="5">
        <v>42500</v>
      </c>
      <c r="I113" s="1">
        <v>15</v>
      </c>
      <c r="J113">
        <v>406</v>
      </c>
      <c r="K113">
        <v>2015</v>
      </c>
      <c r="L113">
        <v>8</v>
      </c>
      <c r="M113" t="s">
        <v>513</v>
      </c>
      <c r="N113" t="s">
        <v>13</v>
      </c>
      <c r="O113" t="s">
        <v>154</v>
      </c>
      <c r="P113">
        <v>38</v>
      </c>
      <c r="Q113">
        <v>1</v>
      </c>
      <c r="R113" t="s">
        <v>138</v>
      </c>
      <c r="S113" t="s">
        <v>13</v>
      </c>
      <c r="T113" t="s">
        <v>177</v>
      </c>
      <c r="U113" t="s">
        <v>532</v>
      </c>
      <c r="V113" t="s">
        <v>72</v>
      </c>
      <c r="W113">
        <v>0.1</v>
      </c>
      <c r="X113" t="s">
        <v>195</v>
      </c>
      <c r="Y113" t="s">
        <v>246</v>
      </c>
      <c r="Z113" t="s">
        <v>13</v>
      </c>
      <c r="AA113" t="s">
        <v>6</v>
      </c>
      <c r="AB113">
        <f xml:space="preserve"> COUNTIF(Fact[[#This Row],[Partner.Partner Driven]], "Yes") / COUNTA(Fact[Opportunity ID])</f>
        <v>2.05761316872428E-3</v>
      </c>
      <c r="AC113">
        <f>IFERROR(INDEX(Fact[[#All],[Opportunity ID]],MATCH(X113,Fact[[#All],[salestage.Sales Stage]],0))/INDEX(Fact[[#All],[Opportunity ID]],MATCH(X112,Fact[[#All],[salestage.Sales Stage]],0)), "")</f>
        <v>0.22222222222222221</v>
      </c>
    </row>
    <row r="114" spans="1:29" x14ac:dyDescent="0.3">
      <c r="A114" s="1">
        <v>42111.457638888889</v>
      </c>
      <c r="B114">
        <v>113</v>
      </c>
      <c r="C114">
        <v>2</v>
      </c>
      <c r="D114">
        <v>96</v>
      </c>
      <c r="E114">
        <v>38</v>
      </c>
      <c r="F114">
        <v>2</v>
      </c>
      <c r="G114">
        <v>1478056</v>
      </c>
      <c r="H114" s="5">
        <v>295611</v>
      </c>
      <c r="I114" s="1">
        <v>10</v>
      </c>
      <c r="J114">
        <v>372</v>
      </c>
      <c r="K114">
        <v>2015</v>
      </c>
      <c r="L114">
        <v>4</v>
      </c>
      <c r="M114" t="s">
        <v>510</v>
      </c>
      <c r="N114" t="s">
        <v>3</v>
      </c>
      <c r="O114" t="s">
        <v>155</v>
      </c>
      <c r="P114">
        <v>101</v>
      </c>
      <c r="Q114">
        <v>1</v>
      </c>
      <c r="R114" t="s">
        <v>138</v>
      </c>
      <c r="S114" t="s">
        <v>3</v>
      </c>
      <c r="T114" t="s">
        <v>171</v>
      </c>
      <c r="U114" t="s">
        <v>531</v>
      </c>
      <c r="V114" t="s">
        <v>72</v>
      </c>
      <c r="W114">
        <v>0.2</v>
      </c>
      <c r="X114" t="s">
        <v>196</v>
      </c>
      <c r="Y114" t="s">
        <v>247</v>
      </c>
      <c r="Z114" t="s">
        <v>3</v>
      </c>
      <c r="AA114" t="s">
        <v>6</v>
      </c>
      <c r="AB114">
        <f xml:space="preserve"> COUNTIF(Fact[[#This Row],[Partner.Partner Driven]], "Yes") / COUNTA(Fact[Opportunity ID])</f>
        <v>2.05761316872428E-3</v>
      </c>
      <c r="AC114">
        <f>IFERROR(INDEX(Fact[[#All],[Opportunity ID]],MATCH(X114,Fact[[#All],[salestage.Sales Stage]],0))/INDEX(Fact[[#All],[Opportunity ID]],MATCH(X113,Fact[[#All],[salestage.Sales Stage]],0)), "")</f>
        <v>0.5</v>
      </c>
    </row>
    <row r="115" spans="1:29" x14ac:dyDescent="0.3">
      <c r="A115" s="1">
        <v>42124.457638888889</v>
      </c>
      <c r="B115">
        <v>114</v>
      </c>
      <c r="C115">
        <v>1</v>
      </c>
      <c r="D115">
        <v>13</v>
      </c>
      <c r="E115">
        <v>9</v>
      </c>
      <c r="F115">
        <v>9</v>
      </c>
      <c r="G115">
        <v>7648045</v>
      </c>
      <c r="H115" s="5">
        <v>764805</v>
      </c>
      <c r="I115" s="1">
        <v>25</v>
      </c>
      <c r="J115">
        <v>401</v>
      </c>
      <c r="K115">
        <v>2015</v>
      </c>
      <c r="L115">
        <v>4</v>
      </c>
      <c r="M115" t="s">
        <v>510</v>
      </c>
      <c r="N115" t="s">
        <v>3</v>
      </c>
      <c r="O115" t="s">
        <v>156</v>
      </c>
      <c r="P115">
        <v>404</v>
      </c>
      <c r="Q115">
        <v>3</v>
      </c>
      <c r="R115" t="s">
        <v>9</v>
      </c>
      <c r="S115" t="s">
        <v>3</v>
      </c>
      <c r="T115" t="s">
        <v>178</v>
      </c>
      <c r="U115" t="s">
        <v>78</v>
      </c>
      <c r="V115" t="s">
        <v>72</v>
      </c>
      <c r="W115">
        <v>0.1</v>
      </c>
      <c r="X115" t="s">
        <v>195</v>
      </c>
      <c r="Y115" t="s">
        <v>20</v>
      </c>
      <c r="Z115" t="s">
        <v>3</v>
      </c>
      <c r="AA115" t="s">
        <v>9</v>
      </c>
      <c r="AB115">
        <f xml:space="preserve"> COUNTIF(Fact[[#This Row],[Partner.Partner Driven]], "Yes") / COUNTA(Fact[Opportunity ID])</f>
        <v>2.05761316872428E-3</v>
      </c>
      <c r="AC115">
        <f>IFERROR(INDEX(Fact[[#All],[Opportunity ID]],MATCH(X115,Fact[[#All],[salestage.Sales Stage]],0))/INDEX(Fact[[#All],[Opportunity ID]],MATCH(X114,Fact[[#All],[salestage.Sales Stage]],0)), "")</f>
        <v>2</v>
      </c>
    </row>
    <row r="116" spans="1:29" x14ac:dyDescent="0.3">
      <c r="A116" s="1">
        <v>42338.457638888889</v>
      </c>
      <c r="B116">
        <v>115</v>
      </c>
      <c r="C116">
        <v>1</v>
      </c>
      <c r="D116">
        <v>97</v>
      </c>
      <c r="E116">
        <v>3</v>
      </c>
      <c r="F116">
        <v>23</v>
      </c>
      <c r="G116">
        <v>10142938</v>
      </c>
      <c r="H116" s="5">
        <v>1014294</v>
      </c>
      <c r="I116" s="1">
        <v>24</v>
      </c>
      <c r="J116">
        <v>616</v>
      </c>
      <c r="K116">
        <v>2015</v>
      </c>
      <c r="L116">
        <v>11</v>
      </c>
      <c r="M116" t="s">
        <v>506</v>
      </c>
      <c r="N116" t="s">
        <v>13</v>
      </c>
      <c r="O116" t="s">
        <v>157</v>
      </c>
      <c r="P116">
        <v>467</v>
      </c>
      <c r="Q116">
        <v>3</v>
      </c>
      <c r="R116" t="s">
        <v>9</v>
      </c>
      <c r="S116" t="s">
        <v>13</v>
      </c>
      <c r="T116" t="s">
        <v>192</v>
      </c>
      <c r="U116" t="s">
        <v>115</v>
      </c>
      <c r="V116" t="s">
        <v>72</v>
      </c>
      <c r="W116">
        <v>0.1</v>
      </c>
      <c r="X116" t="s">
        <v>195</v>
      </c>
      <c r="Y116" t="s">
        <v>248</v>
      </c>
      <c r="Z116" t="s">
        <v>13</v>
      </c>
      <c r="AA116" t="s">
        <v>9</v>
      </c>
      <c r="AB116">
        <f xml:space="preserve"> COUNTIF(Fact[[#This Row],[Partner.Partner Driven]], "Yes") / COUNTA(Fact[Opportunity ID])</f>
        <v>2.05761316872428E-3</v>
      </c>
      <c r="AC116">
        <f>IFERROR(INDEX(Fact[[#All],[Opportunity ID]],MATCH(X116,Fact[[#All],[salestage.Sales Stage]],0))/INDEX(Fact[[#All],[Opportunity ID]],MATCH(X115,Fact[[#All],[salestage.Sales Stage]],0)), "")</f>
        <v>1</v>
      </c>
    </row>
    <row r="117" spans="1:29" x14ac:dyDescent="0.3">
      <c r="A117" s="1">
        <v>42061.457638888889</v>
      </c>
      <c r="B117">
        <v>116</v>
      </c>
      <c r="C117">
        <v>3</v>
      </c>
      <c r="D117">
        <v>28</v>
      </c>
      <c r="E117">
        <v>39</v>
      </c>
      <c r="F117">
        <v>22</v>
      </c>
      <c r="G117">
        <v>5033421</v>
      </c>
      <c r="H117" s="5">
        <v>2013368</v>
      </c>
      <c r="I117" s="1">
        <v>2</v>
      </c>
      <c r="J117">
        <v>420</v>
      </c>
      <c r="K117">
        <v>2015</v>
      </c>
      <c r="L117">
        <v>2</v>
      </c>
      <c r="M117" t="s">
        <v>509</v>
      </c>
      <c r="N117" t="s">
        <v>8</v>
      </c>
      <c r="O117" t="s">
        <v>158</v>
      </c>
      <c r="P117">
        <v>297</v>
      </c>
      <c r="Q117">
        <v>2</v>
      </c>
      <c r="R117" t="s">
        <v>143</v>
      </c>
      <c r="S117" t="s">
        <v>8</v>
      </c>
      <c r="T117" t="s">
        <v>191</v>
      </c>
      <c r="U117" t="s">
        <v>123</v>
      </c>
      <c r="V117" t="s">
        <v>72</v>
      </c>
      <c r="W117">
        <v>0.4</v>
      </c>
      <c r="X117" t="s">
        <v>197</v>
      </c>
      <c r="Y117" t="s">
        <v>35</v>
      </c>
      <c r="Z117" t="s">
        <v>13</v>
      </c>
      <c r="AA117" t="s">
        <v>9</v>
      </c>
      <c r="AB117">
        <f xml:space="preserve"> COUNTIF(Fact[[#This Row],[Partner.Partner Driven]], "Yes") / COUNTA(Fact[Opportunity ID])</f>
        <v>2.05761316872428E-3</v>
      </c>
      <c r="AC117">
        <f>IFERROR(INDEX(Fact[[#All],[Opportunity ID]],MATCH(X117,Fact[[#All],[salestage.Sales Stage]],0))/INDEX(Fact[[#All],[Opportunity ID]],MATCH(X116,Fact[[#All],[salestage.Sales Stage]],0)), "")</f>
        <v>4.5</v>
      </c>
    </row>
    <row r="118" spans="1:29" x14ac:dyDescent="0.3">
      <c r="A118" s="1">
        <v>42154.457638888889</v>
      </c>
      <c r="B118">
        <v>117</v>
      </c>
      <c r="C118">
        <v>3</v>
      </c>
      <c r="D118">
        <v>98</v>
      </c>
      <c r="E118">
        <v>40</v>
      </c>
      <c r="F118">
        <v>1</v>
      </c>
      <c r="G118">
        <v>7499745</v>
      </c>
      <c r="H118" s="5">
        <v>2999898</v>
      </c>
      <c r="I118" s="1">
        <v>27</v>
      </c>
      <c r="J118">
        <v>457</v>
      </c>
      <c r="K118">
        <v>2015</v>
      </c>
      <c r="L118">
        <v>5</v>
      </c>
      <c r="M118" t="s">
        <v>68</v>
      </c>
      <c r="N118" t="s">
        <v>3</v>
      </c>
      <c r="O118" t="s">
        <v>159</v>
      </c>
      <c r="P118">
        <v>402</v>
      </c>
      <c r="Q118">
        <v>3</v>
      </c>
      <c r="R118" t="s">
        <v>9</v>
      </c>
      <c r="S118" t="s">
        <v>3</v>
      </c>
      <c r="T118" t="s">
        <v>170</v>
      </c>
      <c r="U118" t="s">
        <v>538</v>
      </c>
      <c r="V118" t="s">
        <v>72</v>
      </c>
      <c r="W118">
        <v>0.4</v>
      </c>
      <c r="X118" t="s">
        <v>197</v>
      </c>
      <c r="Y118" t="s">
        <v>249</v>
      </c>
      <c r="Z118" t="s">
        <v>13</v>
      </c>
      <c r="AA118" t="s">
        <v>6</v>
      </c>
      <c r="AB118">
        <f xml:space="preserve"> COUNTIF(Fact[[#This Row],[Partner.Partner Driven]], "Yes") / COUNTA(Fact[Opportunity ID])</f>
        <v>2.05761316872428E-3</v>
      </c>
      <c r="AC118">
        <f>IFERROR(INDEX(Fact[[#All],[Opportunity ID]],MATCH(X118,Fact[[#All],[salestage.Sales Stage]],0))/INDEX(Fact[[#All],[Opportunity ID]],MATCH(X117,Fact[[#All],[salestage.Sales Stage]],0)), "")</f>
        <v>1</v>
      </c>
    </row>
    <row r="119" spans="1:29" x14ac:dyDescent="0.3">
      <c r="A119" s="1">
        <v>42094.457638888889</v>
      </c>
      <c r="B119">
        <v>118</v>
      </c>
      <c r="C119">
        <v>3</v>
      </c>
      <c r="D119">
        <v>99</v>
      </c>
      <c r="E119">
        <v>13</v>
      </c>
      <c r="F119">
        <v>16</v>
      </c>
      <c r="G119">
        <v>7236205</v>
      </c>
      <c r="H119" s="5">
        <v>2894482</v>
      </c>
      <c r="I119" s="1">
        <v>18</v>
      </c>
      <c r="J119">
        <v>378</v>
      </c>
      <c r="K119">
        <v>2015</v>
      </c>
      <c r="L119">
        <v>3</v>
      </c>
      <c r="M119" t="s">
        <v>512</v>
      </c>
      <c r="N119" t="s">
        <v>13</v>
      </c>
      <c r="O119" t="s">
        <v>160</v>
      </c>
      <c r="P119">
        <v>395</v>
      </c>
      <c r="Q119">
        <v>3</v>
      </c>
      <c r="R119" t="s">
        <v>9</v>
      </c>
      <c r="S119" t="s">
        <v>13</v>
      </c>
      <c r="T119" t="s">
        <v>185</v>
      </c>
      <c r="U119" t="s">
        <v>97</v>
      </c>
      <c r="V119" t="s">
        <v>72</v>
      </c>
      <c r="W119">
        <v>0.4</v>
      </c>
      <c r="X119" t="s">
        <v>197</v>
      </c>
      <c r="Y119" t="s">
        <v>250</v>
      </c>
      <c r="Z119" t="s">
        <v>13</v>
      </c>
      <c r="AA119" t="s">
        <v>6</v>
      </c>
      <c r="AB119">
        <f xml:space="preserve"> COUNTIF(Fact[[#This Row],[Partner.Partner Driven]], "Yes") / COUNTA(Fact[Opportunity ID])</f>
        <v>2.05761316872428E-3</v>
      </c>
      <c r="AC119">
        <f>IFERROR(INDEX(Fact[[#All],[Opportunity ID]],MATCH(X119,Fact[[#All],[salestage.Sales Stage]],0))/INDEX(Fact[[#All],[Opportunity ID]],MATCH(X118,Fact[[#All],[salestage.Sales Stage]],0)), "")</f>
        <v>1</v>
      </c>
    </row>
    <row r="120" spans="1:29" x14ac:dyDescent="0.3">
      <c r="A120" s="1">
        <v>42078.457638888889</v>
      </c>
      <c r="B120">
        <v>119</v>
      </c>
      <c r="C120">
        <v>1</v>
      </c>
      <c r="D120">
        <v>100</v>
      </c>
      <c r="E120">
        <v>22</v>
      </c>
      <c r="F120">
        <v>20</v>
      </c>
      <c r="G120">
        <v>2381416</v>
      </c>
      <c r="H120" s="5">
        <v>238142</v>
      </c>
      <c r="I120" s="1">
        <v>15</v>
      </c>
      <c r="J120">
        <v>365</v>
      </c>
      <c r="K120">
        <v>2015</v>
      </c>
      <c r="L120">
        <v>3</v>
      </c>
      <c r="M120" t="s">
        <v>512</v>
      </c>
      <c r="N120" t="s">
        <v>3</v>
      </c>
      <c r="O120" t="s">
        <v>161</v>
      </c>
      <c r="P120">
        <v>157</v>
      </c>
      <c r="Q120">
        <v>1</v>
      </c>
      <c r="R120" t="s">
        <v>138</v>
      </c>
      <c r="S120" t="s">
        <v>3</v>
      </c>
      <c r="T120" t="s">
        <v>189</v>
      </c>
      <c r="U120" t="s">
        <v>84</v>
      </c>
      <c r="V120" t="s">
        <v>85</v>
      </c>
      <c r="W120">
        <v>0.1</v>
      </c>
      <c r="X120" t="s">
        <v>195</v>
      </c>
      <c r="Y120" t="s">
        <v>251</v>
      </c>
      <c r="Z120" t="s">
        <v>3</v>
      </c>
      <c r="AA120" t="s">
        <v>4</v>
      </c>
      <c r="AB120">
        <f xml:space="preserve"> COUNTIF(Fact[[#This Row],[Partner.Partner Driven]], "Yes") / COUNTA(Fact[Opportunity ID])</f>
        <v>0</v>
      </c>
      <c r="AC120">
        <f>IFERROR(INDEX(Fact[[#All],[Opportunity ID]],MATCH(X120,Fact[[#All],[salestage.Sales Stage]],0))/INDEX(Fact[[#All],[Opportunity ID]],MATCH(X119,Fact[[#All],[salestage.Sales Stage]],0)), "")</f>
        <v>0.22222222222222221</v>
      </c>
    </row>
    <row r="121" spans="1:29" x14ac:dyDescent="0.3">
      <c r="A121" s="1">
        <v>42185.457638888889</v>
      </c>
      <c r="B121">
        <v>120</v>
      </c>
      <c r="C121">
        <v>1</v>
      </c>
      <c r="D121">
        <v>101</v>
      </c>
      <c r="E121">
        <v>41</v>
      </c>
      <c r="F121">
        <v>13</v>
      </c>
      <c r="G121">
        <v>11303295</v>
      </c>
      <c r="H121" s="5">
        <v>1130330</v>
      </c>
      <c r="I121" s="1">
        <v>27</v>
      </c>
      <c r="J121">
        <v>460</v>
      </c>
      <c r="K121">
        <v>2015</v>
      </c>
      <c r="L121">
        <v>6</v>
      </c>
      <c r="M121" t="s">
        <v>70</v>
      </c>
      <c r="N121" t="s">
        <v>13</v>
      </c>
      <c r="O121" t="s">
        <v>163</v>
      </c>
      <c r="P121">
        <v>478</v>
      </c>
      <c r="Q121">
        <v>3</v>
      </c>
      <c r="R121" t="s">
        <v>9</v>
      </c>
      <c r="S121" t="s">
        <v>13</v>
      </c>
      <c r="T121" t="s">
        <v>182</v>
      </c>
      <c r="U121" t="s">
        <v>73</v>
      </c>
      <c r="V121" t="s">
        <v>72</v>
      </c>
      <c r="W121">
        <v>0.1</v>
      </c>
      <c r="X121" t="s">
        <v>195</v>
      </c>
      <c r="Y121" t="s">
        <v>252</v>
      </c>
      <c r="Z121" t="s">
        <v>8</v>
      </c>
      <c r="AA121" t="s">
        <v>9</v>
      </c>
      <c r="AB121">
        <f xml:space="preserve"> COUNTIF(Fact[[#This Row],[Partner.Partner Driven]], "Yes") / COUNTA(Fact[Opportunity ID])</f>
        <v>2.05761316872428E-3</v>
      </c>
      <c r="AC121">
        <f>IFERROR(INDEX(Fact[[#All],[Opportunity ID]],MATCH(X121,Fact[[#All],[salestage.Sales Stage]],0))/INDEX(Fact[[#All],[Opportunity ID]],MATCH(X120,Fact[[#All],[salestage.Sales Stage]],0)), "")</f>
        <v>1</v>
      </c>
    </row>
    <row r="122" spans="1:29" x14ac:dyDescent="0.3">
      <c r="A122" s="1">
        <v>42083.457638888889</v>
      </c>
      <c r="B122">
        <v>121</v>
      </c>
      <c r="C122">
        <v>1</v>
      </c>
      <c r="D122">
        <v>61</v>
      </c>
      <c r="E122">
        <v>22</v>
      </c>
      <c r="F122">
        <v>8</v>
      </c>
      <c r="G122">
        <v>254995</v>
      </c>
      <c r="H122" s="5">
        <v>25500</v>
      </c>
      <c r="I122" s="1">
        <v>9</v>
      </c>
      <c r="J122">
        <v>376</v>
      </c>
      <c r="K122">
        <v>2015</v>
      </c>
      <c r="L122">
        <v>3</v>
      </c>
      <c r="M122" t="s">
        <v>512</v>
      </c>
      <c r="N122" t="s">
        <v>13</v>
      </c>
      <c r="O122" t="s">
        <v>164</v>
      </c>
      <c r="P122">
        <v>28</v>
      </c>
      <c r="Q122">
        <v>1</v>
      </c>
      <c r="R122" t="s">
        <v>138</v>
      </c>
      <c r="S122" t="s">
        <v>13</v>
      </c>
      <c r="T122" t="s">
        <v>177</v>
      </c>
      <c r="U122" t="s">
        <v>84</v>
      </c>
      <c r="V122" t="s">
        <v>85</v>
      </c>
      <c r="W122">
        <v>0.1</v>
      </c>
      <c r="X122" t="s">
        <v>195</v>
      </c>
      <c r="Y122" t="s">
        <v>212</v>
      </c>
      <c r="Z122" t="s">
        <v>3</v>
      </c>
      <c r="AA122" t="s">
        <v>9</v>
      </c>
      <c r="AB122">
        <f xml:space="preserve"> COUNTIF(Fact[[#This Row],[Partner.Partner Driven]], "Yes") / COUNTA(Fact[Opportunity ID])</f>
        <v>0</v>
      </c>
      <c r="AC122">
        <f>IFERROR(INDEX(Fact[[#All],[Opportunity ID]],MATCH(X122,Fact[[#All],[salestage.Sales Stage]],0))/INDEX(Fact[[#All],[Opportunity ID]],MATCH(X121,Fact[[#All],[salestage.Sales Stage]],0)), "")</f>
        <v>1</v>
      </c>
    </row>
    <row r="123" spans="1:29" x14ac:dyDescent="0.3">
      <c r="A123" s="1">
        <v>42041.457638888889</v>
      </c>
      <c r="B123">
        <v>122</v>
      </c>
      <c r="C123">
        <v>3</v>
      </c>
      <c r="D123">
        <v>102</v>
      </c>
      <c r="E123">
        <v>42</v>
      </c>
      <c r="F123">
        <v>20</v>
      </c>
      <c r="G123">
        <v>3266897</v>
      </c>
      <c r="H123" s="5">
        <v>1306759</v>
      </c>
      <c r="I123" s="1">
        <v>3</v>
      </c>
      <c r="J123">
        <v>399</v>
      </c>
      <c r="K123">
        <v>2015</v>
      </c>
      <c r="L123">
        <v>2</v>
      </c>
      <c r="M123" t="s">
        <v>509</v>
      </c>
      <c r="N123" t="s">
        <v>13</v>
      </c>
      <c r="O123" t="s">
        <v>165</v>
      </c>
      <c r="P123">
        <v>203</v>
      </c>
      <c r="Q123">
        <v>2</v>
      </c>
      <c r="R123" t="s">
        <v>143</v>
      </c>
      <c r="S123" t="s">
        <v>13</v>
      </c>
      <c r="T123" t="s">
        <v>189</v>
      </c>
      <c r="U123" t="s">
        <v>77</v>
      </c>
      <c r="V123" t="s">
        <v>72</v>
      </c>
      <c r="W123">
        <v>0.4</v>
      </c>
      <c r="X123" t="s">
        <v>197</v>
      </c>
      <c r="Y123" t="s">
        <v>253</v>
      </c>
      <c r="Z123" t="s">
        <v>3</v>
      </c>
      <c r="AA123" t="s">
        <v>9</v>
      </c>
      <c r="AB123">
        <f xml:space="preserve"> COUNTIF(Fact[[#This Row],[Partner.Partner Driven]], "Yes") / COUNTA(Fact[Opportunity ID])</f>
        <v>2.05761316872428E-3</v>
      </c>
      <c r="AC123">
        <f>IFERROR(INDEX(Fact[[#All],[Opportunity ID]],MATCH(X123,Fact[[#All],[salestage.Sales Stage]],0))/INDEX(Fact[[#All],[Opportunity ID]],MATCH(X122,Fact[[#All],[salestage.Sales Stage]],0)), "")</f>
        <v>4.5</v>
      </c>
    </row>
    <row r="124" spans="1:29" x14ac:dyDescent="0.3">
      <c r="A124" s="1">
        <v>42094.457638888889</v>
      </c>
      <c r="B124">
        <v>123</v>
      </c>
      <c r="C124">
        <v>1</v>
      </c>
      <c r="D124">
        <v>26</v>
      </c>
      <c r="E124">
        <v>43</v>
      </c>
      <c r="F124">
        <v>6</v>
      </c>
      <c r="G124">
        <v>1420028</v>
      </c>
      <c r="H124" s="5">
        <v>142003</v>
      </c>
      <c r="I124" s="1">
        <v>26</v>
      </c>
      <c r="J124">
        <v>429</v>
      </c>
      <c r="K124">
        <v>2015</v>
      </c>
      <c r="L124">
        <v>3</v>
      </c>
      <c r="M124" t="s">
        <v>512</v>
      </c>
      <c r="N124" t="s">
        <v>13</v>
      </c>
      <c r="O124" t="s">
        <v>166</v>
      </c>
      <c r="P124">
        <v>93</v>
      </c>
      <c r="Q124">
        <v>1</v>
      </c>
      <c r="R124" t="s">
        <v>138</v>
      </c>
      <c r="S124" t="s">
        <v>13</v>
      </c>
      <c r="T124" t="s">
        <v>175</v>
      </c>
      <c r="U124" t="s">
        <v>534</v>
      </c>
      <c r="V124" t="s">
        <v>72</v>
      </c>
      <c r="W124">
        <v>0.1</v>
      </c>
      <c r="X124" t="s">
        <v>195</v>
      </c>
      <c r="Y124" t="s">
        <v>33</v>
      </c>
      <c r="Z124" t="s">
        <v>3</v>
      </c>
      <c r="AA124" t="s">
        <v>4</v>
      </c>
      <c r="AB124">
        <f xml:space="preserve"> COUNTIF(Fact[[#This Row],[Partner.Partner Driven]], "Yes") / COUNTA(Fact[Opportunity ID])</f>
        <v>2.05761316872428E-3</v>
      </c>
      <c r="AC124">
        <f>IFERROR(INDEX(Fact[[#All],[Opportunity ID]],MATCH(X124,Fact[[#All],[salestage.Sales Stage]],0))/INDEX(Fact[[#All],[Opportunity ID]],MATCH(X123,Fact[[#All],[salestage.Sales Stage]],0)), "")</f>
        <v>0.22222222222222221</v>
      </c>
    </row>
    <row r="125" spans="1:29" x14ac:dyDescent="0.3">
      <c r="A125" s="1">
        <v>42369.457638888889</v>
      </c>
      <c r="B125">
        <v>124</v>
      </c>
      <c r="C125">
        <v>1</v>
      </c>
      <c r="D125">
        <v>52</v>
      </c>
      <c r="E125">
        <v>24</v>
      </c>
      <c r="F125">
        <v>20</v>
      </c>
      <c r="G125">
        <v>3214265</v>
      </c>
      <c r="H125" s="5">
        <v>321427</v>
      </c>
      <c r="I125" s="1">
        <v>20</v>
      </c>
      <c r="J125">
        <v>559</v>
      </c>
      <c r="K125">
        <v>2015</v>
      </c>
      <c r="L125">
        <v>12</v>
      </c>
      <c r="M125" t="s">
        <v>508</v>
      </c>
      <c r="N125" t="s">
        <v>13</v>
      </c>
      <c r="O125" t="s">
        <v>167</v>
      </c>
      <c r="P125">
        <v>197</v>
      </c>
      <c r="Q125">
        <v>2</v>
      </c>
      <c r="R125" t="s">
        <v>143</v>
      </c>
      <c r="S125" t="s">
        <v>13</v>
      </c>
      <c r="T125" t="s">
        <v>189</v>
      </c>
      <c r="U125" t="s">
        <v>518</v>
      </c>
      <c r="V125" t="s">
        <v>72</v>
      </c>
      <c r="W125">
        <v>0.1</v>
      </c>
      <c r="X125" t="s">
        <v>195</v>
      </c>
      <c r="Y125" t="s">
        <v>203</v>
      </c>
      <c r="Z125" t="s">
        <v>3</v>
      </c>
      <c r="AA125" t="s">
        <v>4</v>
      </c>
      <c r="AB125">
        <f xml:space="preserve"> COUNTIF(Fact[[#This Row],[Partner.Partner Driven]], "Yes") / COUNTA(Fact[Opportunity ID])</f>
        <v>2.05761316872428E-3</v>
      </c>
      <c r="AC125">
        <f>IFERROR(INDEX(Fact[[#All],[Opportunity ID]],MATCH(X125,Fact[[#All],[salestage.Sales Stage]],0))/INDEX(Fact[[#All],[Opportunity ID]],MATCH(X124,Fact[[#All],[salestage.Sales Stage]],0)), "")</f>
        <v>1</v>
      </c>
    </row>
    <row r="126" spans="1:29" x14ac:dyDescent="0.3">
      <c r="A126" s="1">
        <v>42050.457638888889</v>
      </c>
      <c r="B126">
        <v>125</v>
      </c>
      <c r="C126">
        <v>3</v>
      </c>
      <c r="D126">
        <v>103</v>
      </c>
      <c r="E126">
        <v>33</v>
      </c>
      <c r="F126">
        <v>6</v>
      </c>
      <c r="G126">
        <v>6077984</v>
      </c>
      <c r="H126" s="5">
        <v>2431194</v>
      </c>
      <c r="I126" s="1">
        <v>11</v>
      </c>
      <c r="J126">
        <v>369</v>
      </c>
      <c r="K126">
        <v>2015</v>
      </c>
      <c r="L126">
        <v>2</v>
      </c>
      <c r="M126" t="s">
        <v>509</v>
      </c>
      <c r="N126" t="s">
        <v>3</v>
      </c>
      <c r="O126" t="s">
        <v>168</v>
      </c>
      <c r="P126">
        <v>346</v>
      </c>
      <c r="Q126">
        <v>3</v>
      </c>
      <c r="R126" t="s">
        <v>9</v>
      </c>
      <c r="S126" t="s">
        <v>3</v>
      </c>
      <c r="T126" t="s">
        <v>175</v>
      </c>
      <c r="U126" t="s">
        <v>539</v>
      </c>
      <c r="V126" t="s">
        <v>72</v>
      </c>
      <c r="W126">
        <v>0.4</v>
      </c>
      <c r="X126" t="s">
        <v>197</v>
      </c>
      <c r="Y126" t="s">
        <v>254</v>
      </c>
      <c r="Z126" t="s">
        <v>8</v>
      </c>
      <c r="AA126" t="s">
        <v>4</v>
      </c>
      <c r="AB126">
        <f xml:space="preserve"> COUNTIF(Fact[[#This Row],[Partner.Partner Driven]], "Yes") / COUNTA(Fact[Opportunity ID])</f>
        <v>2.05761316872428E-3</v>
      </c>
      <c r="AC126">
        <f>IFERROR(INDEX(Fact[[#All],[Opportunity ID]],MATCH(X126,Fact[[#All],[salestage.Sales Stage]],0))/INDEX(Fact[[#All],[Opportunity ID]],MATCH(X125,Fact[[#All],[salestage.Sales Stage]],0)), "")</f>
        <v>4.5</v>
      </c>
    </row>
    <row r="127" spans="1:29" x14ac:dyDescent="0.3">
      <c r="A127" s="1">
        <v>42185.457638888889</v>
      </c>
      <c r="B127">
        <v>126</v>
      </c>
      <c r="C127">
        <v>1</v>
      </c>
      <c r="D127">
        <v>104</v>
      </c>
      <c r="E127">
        <v>22</v>
      </c>
      <c r="F127">
        <v>10</v>
      </c>
      <c r="G127">
        <v>1433275</v>
      </c>
      <c r="H127" s="5">
        <v>143328</v>
      </c>
      <c r="I127" s="1">
        <v>2</v>
      </c>
      <c r="J127">
        <v>544</v>
      </c>
      <c r="K127">
        <v>2015</v>
      </c>
      <c r="L127">
        <v>6</v>
      </c>
      <c r="M127" t="s">
        <v>70</v>
      </c>
      <c r="N127" t="s">
        <v>13</v>
      </c>
      <c r="O127" t="s">
        <v>169</v>
      </c>
      <c r="P127">
        <v>95</v>
      </c>
      <c r="Q127">
        <v>1</v>
      </c>
      <c r="R127" t="s">
        <v>138</v>
      </c>
      <c r="S127" t="s">
        <v>13</v>
      </c>
      <c r="T127" t="s">
        <v>179</v>
      </c>
      <c r="U127" t="s">
        <v>84</v>
      </c>
      <c r="V127" t="s">
        <v>85</v>
      </c>
      <c r="W127">
        <v>0.1</v>
      </c>
      <c r="X127" t="s">
        <v>195</v>
      </c>
      <c r="Y127" t="s">
        <v>255</v>
      </c>
      <c r="Z127" t="s">
        <v>13</v>
      </c>
      <c r="AA127" t="s">
        <v>9</v>
      </c>
      <c r="AB127">
        <f xml:space="preserve"> COUNTIF(Fact[[#This Row],[Partner.Partner Driven]], "Yes") / COUNTA(Fact[Opportunity ID])</f>
        <v>0</v>
      </c>
      <c r="AC127">
        <f>IFERROR(INDEX(Fact[[#All],[Opportunity ID]],MATCH(X127,Fact[[#All],[salestage.Sales Stage]],0))/INDEX(Fact[[#All],[Opportunity ID]],MATCH(X126,Fact[[#All],[salestage.Sales Stage]],0)), "")</f>
        <v>0.22222222222222221</v>
      </c>
    </row>
    <row r="128" spans="1:29" x14ac:dyDescent="0.3">
      <c r="A128" s="1">
        <v>42093.457638888889</v>
      </c>
      <c r="B128">
        <v>127</v>
      </c>
      <c r="C128">
        <v>3</v>
      </c>
      <c r="D128">
        <v>44</v>
      </c>
      <c r="E128">
        <v>22</v>
      </c>
      <c r="F128">
        <v>3</v>
      </c>
      <c r="G128">
        <v>1458342</v>
      </c>
      <c r="H128" s="5">
        <v>583337</v>
      </c>
      <c r="I128" s="1">
        <v>4</v>
      </c>
      <c r="J128">
        <v>450</v>
      </c>
      <c r="K128">
        <v>2015</v>
      </c>
      <c r="L128">
        <v>3</v>
      </c>
      <c r="M128" t="s">
        <v>512</v>
      </c>
      <c r="N128" t="s">
        <v>13</v>
      </c>
      <c r="O128" t="s">
        <v>550</v>
      </c>
      <c r="P128">
        <v>100</v>
      </c>
      <c r="Q128">
        <v>1</v>
      </c>
      <c r="R128" t="s">
        <v>138</v>
      </c>
      <c r="S128" t="s">
        <v>13</v>
      </c>
      <c r="T128" t="s">
        <v>172</v>
      </c>
      <c r="U128" t="s">
        <v>84</v>
      </c>
      <c r="V128" t="s">
        <v>85</v>
      </c>
      <c r="W128">
        <v>0.4</v>
      </c>
      <c r="X128" t="s">
        <v>197</v>
      </c>
      <c r="Y128" t="s">
        <v>51</v>
      </c>
      <c r="Z128" t="s">
        <v>8</v>
      </c>
      <c r="AA128" t="s">
        <v>4</v>
      </c>
      <c r="AB128">
        <f xml:space="preserve"> COUNTIF(Fact[[#This Row],[Partner.Partner Driven]], "Yes") / COUNTA(Fact[Opportunity ID])</f>
        <v>0</v>
      </c>
      <c r="AC128">
        <f>IFERROR(INDEX(Fact[[#All],[Opportunity ID]],MATCH(X128,Fact[[#All],[salestage.Sales Stage]],0))/INDEX(Fact[[#All],[Opportunity ID]],MATCH(X127,Fact[[#All],[salestage.Sales Stage]],0)), "")</f>
        <v>4.5</v>
      </c>
    </row>
    <row r="129" spans="1:29" x14ac:dyDescent="0.3">
      <c r="A129" s="1">
        <v>42005.457638888889</v>
      </c>
      <c r="B129">
        <v>128</v>
      </c>
      <c r="C129">
        <v>5</v>
      </c>
      <c r="D129">
        <v>105</v>
      </c>
      <c r="E129">
        <v>3</v>
      </c>
      <c r="F129">
        <v>9</v>
      </c>
      <c r="G129">
        <v>9202838</v>
      </c>
      <c r="H129" s="5">
        <v>7362270</v>
      </c>
      <c r="I129" s="1">
        <v>1</v>
      </c>
      <c r="J129">
        <v>365</v>
      </c>
      <c r="K129">
        <v>2015</v>
      </c>
      <c r="L129">
        <v>1</v>
      </c>
      <c r="M129" t="s">
        <v>511</v>
      </c>
      <c r="N129" t="s">
        <v>13</v>
      </c>
      <c r="O129" t="s">
        <v>551</v>
      </c>
      <c r="P129">
        <v>446</v>
      </c>
      <c r="Q129">
        <v>3</v>
      </c>
      <c r="R129" t="s">
        <v>9</v>
      </c>
      <c r="S129" t="s">
        <v>13</v>
      </c>
      <c r="T129" t="s">
        <v>178</v>
      </c>
      <c r="U129" t="s">
        <v>115</v>
      </c>
      <c r="V129" t="s">
        <v>72</v>
      </c>
      <c r="W129">
        <v>0.8</v>
      </c>
      <c r="X129" t="s">
        <v>199</v>
      </c>
      <c r="Y129" t="s">
        <v>256</v>
      </c>
      <c r="Z129" t="s">
        <v>13</v>
      </c>
      <c r="AA129" t="s">
        <v>9</v>
      </c>
      <c r="AB129">
        <f xml:space="preserve"> COUNTIF(Fact[[#This Row],[Partner.Partner Driven]], "Yes") / COUNTA(Fact[Opportunity ID])</f>
        <v>2.05761316872428E-3</v>
      </c>
      <c r="AC129">
        <f>IFERROR(INDEX(Fact[[#All],[Opportunity ID]],MATCH(X129,Fact[[#All],[salestage.Sales Stage]],0))/INDEX(Fact[[#All],[Opportunity ID]],MATCH(X128,Fact[[#All],[salestage.Sales Stage]],0)), "")</f>
        <v>6</v>
      </c>
    </row>
    <row r="130" spans="1:29" x14ac:dyDescent="0.3">
      <c r="A130" s="1">
        <v>42338.457638888889</v>
      </c>
      <c r="B130">
        <v>129</v>
      </c>
      <c r="C130">
        <v>1</v>
      </c>
      <c r="D130">
        <v>106</v>
      </c>
      <c r="E130">
        <v>44</v>
      </c>
      <c r="F130">
        <v>7</v>
      </c>
      <c r="G130">
        <v>2475475</v>
      </c>
      <c r="H130" s="5">
        <v>247548</v>
      </c>
      <c r="I130" s="1">
        <v>14</v>
      </c>
      <c r="J130">
        <v>412</v>
      </c>
      <c r="K130">
        <v>2015</v>
      </c>
      <c r="L130">
        <v>11</v>
      </c>
      <c r="M130" t="s">
        <v>506</v>
      </c>
      <c r="N130" t="s">
        <v>3</v>
      </c>
      <c r="O130" t="s">
        <v>552</v>
      </c>
      <c r="P130">
        <v>163</v>
      </c>
      <c r="Q130">
        <v>2</v>
      </c>
      <c r="R130" t="s">
        <v>143</v>
      </c>
      <c r="S130" t="s">
        <v>3</v>
      </c>
      <c r="T130" t="s">
        <v>176</v>
      </c>
      <c r="U130" t="s">
        <v>522</v>
      </c>
      <c r="V130" t="s">
        <v>72</v>
      </c>
      <c r="W130">
        <v>0.1</v>
      </c>
      <c r="X130" t="s">
        <v>195</v>
      </c>
      <c r="Y130" t="s">
        <v>257</v>
      </c>
      <c r="Z130" t="s">
        <v>13</v>
      </c>
      <c r="AA130" t="s">
        <v>6</v>
      </c>
      <c r="AB130">
        <f xml:space="preserve"> COUNTIF(Fact[[#This Row],[Partner.Partner Driven]], "Yes") / COUNTA(Fact[Opportunity ID])</f>
        <v>2.05761316872428E-3</v>
      </c>
      <c r="AC130">
        <f>IFERROR(INDEX(Fact[[#All],[Opportunity ID]],MATCH(X130,Fact[[#All],[salestage.Sales Stage]],0))/INDEX(Fact[[#All],[Opportunity ID]],MATCH(X129,Fact[[#All],[salestage.Sales Stage]],0)), "")</f>
        <v>3.7037037037037035E-2</v>
      </c>
    </row>
    <row r="131" spans="1:29" x14ac:dyDescent="0.3">
      <c r="A131" s="1">
        <v>42086.457638888889</v>
      </c>
      <c r="B131">
        <v>130</v>
      </c>
      <c r="C131">
        <v>3</v>
      </c>
      <c r="D131">
        <v>107</v>
      </c>
      <c r="E131">
        <v>36</v>
      </c>
      <c r="F131">
        <v>24</v>
      </c>
      <c r="G131">
        <v>1545093</v>
      </c>
      <c r="H131" s="5">
        <v>618037</v>
      </c>
      <c r="I131" s="1">
        <v>15</v>
      </c>
      <c r="J131">
        <v>373</v>
      </c>
      <c r="K131">
        <v>2015</v>
      </c>
      <c r="L131">
        <v>3</v>
      </c>
      <c r="M131" t="s">
        <v>512</v>
      </c>
      <c r="N131" t="s">
        <v>13</v>
      </c>
      <c r="O131" t="s">
        <v>554</v>
      </c>
      <c r="P131">
        <v>105</v>
      </c>
      <c r="Q131">
        <v>1</v>
      </c>
      <c r="R131" t="s">
        <v>138</v>
      </c>
      <c r="S131" t="s">
        <v>13</v>
      </c>
      <c r="T131" t="s">
        <v>193</v>
      </c>
      <c r="U131" t="s">
        <v>119</v>
      </c>
      <c r="V131" t="s">
        <v>72</v>
      </c>
      <c r="W131">
        <v>0.4</v>
      </c>
      <c r="X131" t="s">
        <v>197</v>
      </c>
      <c r="Y131" t="s">
        <v>258</v>
      </c>
      <c r="Z131" t="s">
        <v>8</v>
      </c>
      <c r="AA131" t="s">
        <v>4</v>
      </c>
      <c r="AB131">
        <f xml:space="preserve"> COUNTIF(Fact[[#This Row],[Partner.Partner Driven]], "Yes") / COUNTA(Fact[Opportunity ID])</f>
        <v>2.05761316872428E-3</v>
      </c>
      <c r="AC131">
        <f>IFERROR(INDEX(Fact[[#All],[Opportunity ID]],MATCH(X131,Fact[[#All],[salestage.Sales Stage]],0))/INDEX(Fact[[#All],[Opportunity ID]],MATCH(X130,Fact[[#All],[salestage.Sales Stage]],0)), "")</f>
        <v>4.5</v>
      </c>
    </row>
    <row r="132" spans="1:29" x14ac:dyDescent="0.3">
      <c r="A132" s="1">
        <v>42247.457638888889</v>
      </c>
      <c r="B132">
        <v>131</v>
      </c>
      <c r="C132">
        <v>1</v>
      </c>
      <c r="D132">
        <v>108</v>
      </c>
      <c r="E132">
        <v>45</v>
      </c>
      <c r="F132">
        <v>20</v>
      </c>
      <c r="G132">
        <v>9423322</v>
      </c>
      <c r="H132" s="5">
        <v>942332</v>
      </c>
      <c r="I132" s="1">
        <v>2</v>
      </c>
      <c r="J132">
        <v>455</v>
      </c>
      <c r="K132">
        <v>2015</v>
      </c>
      <c r="L132">
        <v>8</v>
      </c>
      <c r="M132" t="s">
        <v>513</v>
      </c>
      <c r="N132" t="s">
        <v>13</v>
      </c>
      <c r="O132" t="s">
        <v>555</v>
      </c>
      <c r="P132">
        <v>453</v>
      </c>
      <c r="Q132">
        <v>3</v>
      </c>
      <c r="R132" t="s">
        <v>9</v>
      </c>
      <c r="S132" t="s">
        <v>13</v>
      </c>
      <c r="T132" t="s">
        <v>189</v>
      </c>
      <c r="U132" t="s">
        <v>517</v>
      </c>
      <c r="V132" t="s">
        <v>72</v>
      </c>
      <c r="W132">
        <v>0.1</v>
      </c>
      <c r="X132" t="s">
        <v>195</v>
      </c>
      <c r="Y132" t="s">
        <v>259</v>
      </c>
      <c r="Z132" t="s">
        <v>3</v>
      </c>
      <c r="AA132" t="s">
        <v>4</v>
      </c>
      <c r="AB132">
        <f xml:space="preserve"> COUNTIF(Fact[[#This Row],[Partner.Partner Driven]], "Yes") / COUNTA(Fact[Opportunity ID])</f>
        <v>2.05761316872428E-3</v>
      </c>
      <c r="AC132">
        <f>IFERROR(INDEX(Fact[[#All],[Opportunity ID]],MATCH(X132,Fact[[#All],[salestage.Sales Stage]],0))/INDEX(Fact[[#All],[Opportunity ID]],MATCH(X131,Fact[[#All],[salestage.Sales Stage]],0)), "")</f>
        <v>0.22222222222222221</v>
      </c>
    </row>
    <row r="133" spans="1:29" x14ac:dyDescent="0.3">
      <c r="A133" s="1">
        <v>42247.457638888889</v>
      </c>
      <c r="B133">
        <v>132</v>
      </c>
      <c r="C133">
        <v>1</v>
      </c>
      <c r="D133">
        <v>62</v>
      </c>
      <c r="E133">
        <v>45</v>
      </c>
      <c r="F133">
        <v>19</v>
      </c>
      <c r="G133">
        <v>6531368</v>
      </c>
      <c r="H133" s="5">
        <v>653137</v>
      </c>
      <c r="I133" s="1">
        <v>5</v>
      </c>
      <c r="J133">
        <v>603</v>
      </c>
      <c r="K133">
        <v>2015</v>
      </c>
      <c r="L133">
        <v>8</v>
      </c>
      <c r="M133" t="s">
        <v>513</v>
      </c>
      <c r="N133" t="s">
        <v>8</v>
      </c>
      <c r="O133" t="s">
        <v>556</v>
      </c>
      <c r="P133">
        <v>368</v>
      </c>
      <c r="Q133">
        <v>3</v>
      </c>
      <c r="R133" t="s">
        <v>9</v>
      </c>
      <c r="S133" t="s">
        <v>8</v>
      </c>
      <c r="T133" t="s">
        <v>188</v>
      </c>
      <c r="U133" t="s">
        <v>517</v>
      </c>
      <c r="V133" t="s">
        <v>72</v>
      </c>
      <c r="W133">
        <v>0.1</v>
      </c>
      <c r="X133" t="s">
        <v>195</v>
      </c>
      <c r="Y133" t="s">
        <v>213</v>
      </c>
      <c r="Z133" t="s">
        <v>3</v>
      </c>
      <c r="AA133" t="s">
        <v>4</v>
      </c>
      <c r="AB133">
        <f xml:space="preserve"> COUNTIF(Fact[[#This Row],[Partner.Partner Driven]], "Yes") / COUNTA(Fact[Opportunity ID])</f>
        <v>2.05761316872428E-3</v>
      </c>
      <c r="AC133">
        <f>IFERROR(INDEX(Fact[[#All],[Opportunity ID]],MATCH(X133,Fact[[#All],[salestage.Sales Stage]],0))/INDEX(Fact[[#All],[Opportunity ID]],MATCH(X132,Fact[[#All],[salestage.Sales Stage]],0)), "")</f>
        <v>1</v>
      </c>
    </row>
    <row r="134" spans="1:29" x14ac:dyDescent="0.3">
      <c r="A134" s="1">
        <v>42005.457638888889</v>
      </c>
      <c r="B134">
        <v>133</v>
      </c>
      <c r="C134">
        <v>4</v>
      </c>
      <c r="D134">
        <v>109</v>
      </c>
      <c r="E134">
        <v>46</v>
      </c>
      <c r="F134">
        <v>21</v>
      </c>
      <c r="G134">
        <v>1888265</v>
      </c>
      <c r="H134" s="5">
        <v>1132959</v>
      </c>
      <c r="I134" s="1">
        <v>1</v>
      </c>
      <c r="J134">
        <v>365</v>
      </c>
      <c r="K134">
        <v>2015</v>
      </c>
      <c r="L134">
        <v>1</v>
      </c>
      <c r="M134" t="s">
        <v>511</v>
      </c>
      <c r="N134" t="s">
        <v>13</v>
      </c>
      <c r="O134" t="s">
        <v>557</v>
      </c>
      <c r="P134">
        <v>128</v>
      </c>
      <c r="Q134">
        <v>1</v>
      </c>
      <c r="R134" t="s">
        <v>138</v>
      </c>
      <c r="S134" t="s">
        <v>13</v>
      </c>
      <c r="T134" t="s">
        <v>190</v>
      </c>
      <c r="U134" t="s">
        <v>548</v>
      </c>
      <c r="V134" t="s">
        <v>72</v>
      </c>
      <c r="W134">
        <v>0.6</v>
      </c>
      <c r="X134" t="s">
        <v>198</v>
      </c>
      <c r="Y134" t="s">
        <v>260</v>
      </c>
      <c r="Z134" t="s">
        <v>3</v>
      </c>
      <c r="AA134" t="s">
        <v>4</v>
      </c>
      <c r="AB134">
        <f xml:space="preserve"> COUNTIF(Fact[[#This Row],[Partner.Partner Driven]], "Yes") / COUNTA(Fact[Opportunity ID])</f>
        <v>2.05761316872428E-3</v>
      </c>
      <c r="AC134">
        <f>IFERROR(INDEX(Fact[[#All],[Opportunity ID]],MATCH(X134,Fact[[#All],[salestage.Sales Stage]],0))/INDEX(Fact[[#All],[Opportunity ID]],MATCH(X133,Fact[[#All],[salestage.Sales Stage]],0)), "")</f>
        <v>14</v>
      </c>
    </row>
    <row r="135" spans="1:29" x14ac:dyDescent="0.3">
      <c r="A135" s="1">
        <v>42369.457638888889</v>
      </c>
      <c r="B135">
        <v>134</v>
      </c>
      <c r="C135">
        <v>1</v>
      </c>
      <c r="D135">
        <v>110</v>
      </c>
      <c r="E135">
        <v>22</v>
      </c>
      <c r="F135">
        <v>17</v>
      </c>
      <c r="G135">
        <v>3249174</v>
      </c>
      <c r="H135" s="5">
        <v>324917</v>
      </c>
      <c r="I135" s="1">
        <v>8</v>
      </c>
      <c r="J135">
        <v>632</v>
      </c>
      <c r="K135">
        <v>2015</v>
      </c>
      <c r="L135">
        <v>12</v>
      </c>
      <c r="M135" t="s">
        <v>508</v>
      </c>
      <c r="N135" t="s">
        <v>13</v>
      </c>
      <c r="O135" t="s">
        <v>558</v>
      </c>
      <c r="P135">
        <v>201</v>
      </c>
      <c r="Q135">
        <v>2</v>
      </c>
      <c r="R135" t="s">
        <v>143</v>
      </c>
      <c r="S135" t="s">
        <v>13</v>
      </c>
      <c r="T135" t="s">
        <v>186</v>
      </c>
      <c r="U135" t="s">
        <v>84</v>
      </c>
      <c r="V135" t="s">
        <v>85</v>
      </c>
      <c r="W135">
        <v>0.1</v>
      </c>
      <c r="X135" t="s">
        <v>195</v>
      </c>
      <c r="Y135" t="s">
        <v>261</v>
      </c>
      <c r="Z135" t="s">
        <v>8</v>
      </c>
      <c r="AA135" t="s">
        <v>4</v>
      </c>
      <c r="AB135">
        <f xml:space="preserve"> COUNTIF(Fact[[#This Row],[Partner.Partner Driven]], "Yes") / COUNTA(Fact[Opportunity ID])</f>
        <v>0</v>
      </c>
      <c r="AC135">
        <f>IFERROR(INDEX(Fact[[#All],[Opportunity ID]],MATCH(X135,Fact[[#All],[salestage.Sales Stage]],0))/INDEX(Fact[[#All],[Opportunity ID]],MATCH(X134,Fact[[#All],[salestage.Sales Stage]],0)), "")</f>
        <v>7.1428571428571425E-2</v>
      </c>
    </row>
    <row r="136" spans="1:29" x14ac:dyDescent="0.3">
      <c r="A136" s="1">
        <v>42139.457638888889</v>
      </c>
      <c r="B136">
        <v>135</v>
      </c>
      <c r="C136">
        <v>2</v>
      </c>
      <c r="D136">
        <v>67</v>
      </c>
      <c r="E136">
        <v>3</v>
      </c>
      <c r="F136">
        <v>16</v>
      </c>
      <c r="G136">
        <v>9241668</v>
      </c>
      <c r="H136" s="5">
        <v>1848334</v>
      </c>
      <c r="I136" s="1">
        <v>12</v>
      </c>
      <c r="J136">
        <v>488</v>
      </c>
      <c r="K136">
        <v>2015</v>
      </c>
      <c r="L136">
        <v>5</v>
      </c>
      <c r="M136" t="s">
        <v>68</v>
      </c>
      <c r="N136" t="s">
        <v>13</v>
      </c>
      <c r="O136" t="s">
        <v>559</v>
      </c>
      <c r="P136">
        <v>448</v>
      </c>
      <c r="Q136">
        <v>3</v>
      </c>
      <c r="R136" t="s">
        <v>9</v>
      </c>
      <c r="S136" t="s">
        <v>13</v>
      </c>
      <c r="T136" t="s">
        <v>185</v>
      </c>
      <c r="U136" t="s">
        <v>115</v>
      </c>
      <c r="V136" t="s">
        <v>72</v>
      </c>
      <c r="W136">
        <v>0.2</v>
      </c>
      <c r="X136" t="s">
        <v>196</v>
      </c>
      <c r="Y136" t="s">
        <v>218</v>
      </c>
      <c r="Z136" t="s">
        <v>13</v>
      </c>
      <c r="AA136" t="s">
        <v>4</v>
      </c>
      <c r="AB136">
        <f xml:space="preserve"> COUNTIF(Fact[[#This Row],[Partner.Partner Driven]], "Yes") / COUNTA(Fact[Opportunity ID])</f>
        <v>2.05761316872428E-3</v>
      </c>
      <c r="AC136">
        <f>IFERROR(INDEX(Fact[[#All],[Opportunity ID]],MATCH(X136,Fact[[#All],[salestage.Sales Stage]],0))/INDEX(Fact[[#All],[Opportunity ID]],MATCH(X135,Fact[[#All],[salestage.Sales Stage]],0)), "")</f>
        <v>0.5</v>
      </c>
    </row>
    <row r="137" spans="1:29" x14ac:dyDescent="0.3">
      <c r="A137" s="1">
        <v>42078.457638888889</v>
      </c>
      <c r="B137">
        <v>136</v>
      </c>
      <c r="C137">
        <v>3</v>
      </c>
      <c r="D137">
        <v>53</v>
      </c>
      <c r="E137">
        <v>22</v>
      </c>
      <c r="F137">
        <v>23</v>
      </c>
      <c r="G137">
        <v>2305209</v>
      </c>
      <c r="H137" s="5">
        <v>922084</v>
      </c>
      <c r="I137" s="1">
        <v>1</v>
      </c>
      <c r="J137">
        <v>407</v>
      </c>
      <c r="K137">
        <v>2015</v>
      </c>
      <c r="L137">
        <v>3</v>
      </c>
      <c r="M137" t="s">
        <v>512</v>
      </c>
      <c r="N137" t="s">
        <v>13</v>
      </c>
      <c r="O137" t="s">
        <v>560</v>
      </c>
      <c r="P137">
        <v>152</v>
      </c>
      <c r="Q137">
        <v>1</v>
      </c>
      <c r="R137" t="s">
        <v>138</v>
      </c>
      <c r="S137" t="s">
        <v>13</v>
      </c>
      <c r="T137" t="s">
        <v>192</v>
      </c>
      <c r="U137" t="s">
        <v>84</v>
      </c>
      <c r="V137" t="s">
        <v>85</v>
      </c>
      <c r="W137">
        <v>0.4</v>
      </c>
      <c r="X137" t="s">
        <v>197</v>
      </c>
      <c r="Y137" t="s">
        <v>204</v>
      </c>
      <c r="Z137" t="s">
        <v>13</v>
      </c>
      <c r="AA137" t="s">
        <v>4</v>
      </c>
      <c r="AB137">
        <f xml:space="preserve"> COUNTIF(Fact[[#This Row],[Partner.Partner Driven]], "Yes") / COUNTA(Fact[Opportunity ID])</f>
        <v>0</v>
      </c>
      <c r="AC137">
        <f>IFERROR(INDEX(Fact[[#All],[Opportunity ID]],MATCH(X137,Fact[[#All],[salestage.Sales Stage]],0))/INDEX(Fact[[#All],[Opportunity ID]],MATCH(X136,Fact[[#All],[salestage.Sales Stage]],0)), "")</f>
        <v>9</v>
      </c>
    </row>
    <row r="138" spans="1:29" x14ac:dyDescent="0.3">
      <c r="A138" s="1">
        <v>42020.457638888889</v>
      </c>
      <c r="B138">
        <v>137</v>
      </c>
      <c r="C138">
        <v>5</v>
      </c>
      <c r="D138">
        <v>111</v>
      </c>
      <c r="E138">
        <v>47</v>
      </c>
      <c r="F138">
        <v>25</v>
      </c>
      <c r="G138">
        <v>6902542</v>
      </c>
      <c r="H138" s="5">
        <v>5522034</v>
      </c>
      <c r="I138" s="1">
        <v>15</v>
      </c>
      <c r="J138">
        <v>366</v>
      </c>
      <c r="K138">
        <v>2015</v>
      </c>
      <c r="L138">
        <v>1</v>
      </c>
      <c r="M138" t="s">
        <v>511</v>
      </c>
      <c r="N138" t="s">
        <v>13</v>
      </c>
      <c r="O138" t="s">
        <v>561</v>
      </c>
      <c r="P138">
        <v>381</v>
      </c>
      <c r="Q138">
        <v>3</v>
      </c>
      <c r="R138" t="s">
        <v>9</v>
      </c>
      <c r="S138" t="s">
        <v>13</v>
      </c>
      <c r="T138" t="s">
        <v>194</v>
      </c>
      <c r="U138" t="s">
        <v>547</v>
      </c>
      <c r="V138" t="s">
        <v>72</v>
      </c>
      <c r="W138">
        <v>0.8</v>
      </c>
      <c r="X138" t="s">
        <v>199</v>
      </c>
      <c r="Y138" t="s">
        <v>262</v>
      </c>
      <c r="Z138" t="s">
        <v>8</v>
      </c>
      <c r="AA138" t="s">
        <v>9</v>
      </c>
      <c r="AB138">
        <f xml:space="preserve"> COUNTIF(Fact[[#This Row],[Partner.Partner Driven]], "Yes") / COUNTA(Fact[Opportunity ID])</f>
        <v>2.05761316872428E-3</v>
      </c>
      <c r="AC138">
        <f>IFERROR(INDEX(Fact[[#All],[Opportunity ID]],MATCH(X138,Fact[[#All],[salestage.Sales Stage]],0))/INDEX(Fact[[#All],[Opportunity ID]],MATCH(X137,Fact[[#All],[salestage.Sales Stage]],0)), "")</f>
        <v>6</v>
      </c>
    </row>
    <row r="139" spans="1:29" x14ac:dyDescent="0.3">
      <c r="A139" s="1">
        <v>42369.457638888889</v>
      </c>
      <c r="B139">
        <v>138</v>
      </c>
      <c r="C139">
        <v>1</v>
      </c>
      <c r="D139">
        <v>112</v>
      </c>
      <c r="E139">
        <v>8</v>
      </c>
      <c r="F139">
        <v>11</v>
      </c>
      <c r="G139">
        <v>7487601</v>
      </c>
      <c r="H139" s="5">
        <v>748760</v>
      </c>
      <c r="I139" s="1">
        <v>8</v>
      </c>
      <c r="J139">
        <v>691</v>
      </c>
      <c r="K139">
        <v>2015</v>
      </c>
      <c r="L139">
        <v>12</v>
      </c>
      <c r="M139" t="s">
        <v>508</v>
      </c>
      <c r="N139" t="s">
        <v>3</v>
      </c>
      <c r="O139" t="s">
        <v>562</v>
      </c>
      <c r="P139">
        <v>401</v>
      </c>
      <c r="Q139">
        <v>3</v>
      </c>
      <c r="R139" t="s">
        <v>9</v>
      </c>
      <c r="S139" t="s">
        <v>3</v>
      </c>
      <c r="T139" t="s">
        <v>180</v>
      </c>
      <c r="U139" t="s">
        <v>526</v>
      </c>
      <c r="V139" t="s">
        <v>72</v>
      </c>
      <c r="W139">
        <v>0.1</v>
      </c>
      <c r="X139" t="s">
        <v>195</v>
      </c>
      <c r="Y139" t="s">
        <v>263</v>
      </c>
      <c r="Z139" t="s">
        <v>13</v>
      </c>
      <c r="AA139" t="s">
        <v>4</v>
      </c>
      <c r="AB139">
        <f xml:space="preserve"> COUNTIF(Fact[[#This Row],[Partner.Partner Driven]], "Yes") / COUNTA(Fact[Opportunity ID])</f>
        <v>2.05761316872428E-3</v>
      </c>
      <c r="AC139">
        <f>IFERROR(INDEX(Fact[[#All],[Opportunity ID]],MATCH(X139,Fact[[#All],[salestage.Sales Stage]],0))/INDEX(Fact[[#All],[Opportunity ID]],MATCH(X138,Fact[[#All],[salestage.Sales Stage]],0)), "")</f>
        <v>3.7037037037037035E-2</v>
      </c>
    </row>
    <row r="140" spans="1:29" x14ac:dyDescent="0.3">
      <c r="A140" s="1">
        <v>42180.457638888889</v>
      </c>
      <c r="B140">
        <v>139</v>
      </c>
      <c r="C140">
        <v>2</v>
      </c>
      <c r="D140">
        <v>66</v>
      </c>
      <c r="E140">
        <v>8</v>
      </c>
      <c r="F140">
        <v>18</v>
      </c>
      <c r="G140">
        <v>2516946</v>
      </c>
      <c r="H140" s="5">
        <v>503389</v>
      </c>
      <c r="I140" s="1">
        <v>24</v>
      </c>
      <c r="J140">
        <v>397</v>
      </c>
      <c r="K140">
        <v>2015</v>
      </c>
      <c r="L140">
        <v>6</v>
      </c>
      <c r="M140" t="s">
        <v>70</v>
      </c>
      <c r="N140" t="s">
        <v>3</v>
      </c>
      <c r="O140" t="s">
        <v>563</v>
      </c>
      <c r="P140">
        <v>164</v>
      </c>
      <c r="Q140">
        <v>2</v>
      </c>
      <c r="R140" t="s">
        <v>143</v>
      </c>
      <c r="S140" t="s">
        <v>3</v>
      </c>
      <c r="T140" t="s">
        <v>187</v>
      </c>
      <c r="U140" t="s">
        <v>526</v>
      </c>
      <c r="V140" t="s">
        <v>72</v>
      </c>
      <c r="W140">
        <v>0.2</v>
      </c>
      <c r="X140" t="s">
        <v>196</v>
      </c>
      <c r="Y140" t="s">
        <v>217</v>
      </c>
      <c r="Z140" t="s">
        <v>3</v>
      </c>
      <c r="AA140" t="s">
        <v>6</v>
      </c>
      <c r="AB140">
        <f xml:space="preserve"> COUNTIF(Fact[[#This Row],[Partner.Partner Driven]], "Yes") / COUNTA(Fact[Opportunity ID])</f>
        <v>2.05761316872428E-3</v>
      </c>
      <c r="AC140">
        <f>IFERROR(INDEX(Fact[[#All],[Opportunity ID]],MATCH(X140,Fact[[#All],[salestage.Sales Stage]],0))/INDEX(Fact[[#All],[Opportunity ID]],MATCH(X139,Fact[[#All],[salestage.Sales Stage]],0)), "")</f>
        <v>0.5</v>
      </c>
    </row>
    <row r="141" spans="1:29" x14ac:dyDescent="0.3">
      <c r="A141" s="1">
        <v>42369.457638888889</v>
      </c>
      <c r="B141">
        <v>140</v>
      </c>
      <c r="C141">
        <v>1</v>
      </c>
      <c r="D141">
        <v>22</v>
      </c>
      <c r="E141">
        <v>8</v>
      </c>
      <c r="F141">
        <v>8</v>
      </c>
      <c r="G141">
        <v>698103</v>
      </c>
      <c r="H141" s="5">
        <v>69810</v>
      </c>
      <c r="I141" s="1">
        <v>2</v>
      </c>
      <c r="J141">
        <v>577</v>
      </c>
      <c r="K141">
        <v>2015</v>
      </c>
      <c r="L141">
        <v>12</v>
      </c>
      <c r="M141" t="s">
        <v>508</v>
      </c>
      <c r="N141" t="s">
        <v>13</v>
      </c>
      <c r="O141" t="s">
        <v>565</v>
      </c>
      <c r="P141">
        <v>54</v>
      </c>
      <c r="Q141">
        <v>1</v>
      </c>
      <c r="R141" t="s">
        <v>138</v>
      </c>
      <c r="S141" t="s">
        <v>13</v>
      </c>
      <c r="T141" t="s">
        <v>177</v>
      </c>
      <c r="U141" t="s">
        <v>526</v>
      </c>
      <c r="V141" t="s">
        <v>72</v>
      </c>
      <c r="W141">
        <v>0.1</v>
      </c>
      <c r="X141" t="s">
        <v>195</v>
      </c>
      <c r="Y141" t="s">
        <v>29</v>
      </c>
      <c r="Z141" t="s">
        <v>13</v>
      </c>
      <c r="AA141" t="s">
        <v>4</v>
      </c>
      <c r="AB141">
        <f xml:space="preserve"> COUNTIF(Fact[[#This Row],[Partner.Partner Driven]], "Yes") / COUNTA(Fact[Opportunity ID])</f>
        <v>2.05761316872428E-3</v>
      </c>
      <c r="AC141">
        <f>IFERROR(INDEX(Fact[[#All],[Opportunity ID]],MATCH(X141,Fact[[#All],[salestage.Sales Stage]],0))/INDEX(Fact[[#All],[Opportunity ID]],MATCH(X140,Fact[[#All],[salestage.Sales Stage]],0)), "")</f>
        <v>2</v>
      </c>
    </row>
    <row r="142" spans="1:29" x14ac:dyDescent="0.3">
      <c r="A142" s="1">
        <v>42247.457638888889</v>
      </c>
      <c r="B142">
        <v>141</v>
      </c>
      <c r="C142">
        <v>2</v>
      </c>
      <c r="D142">
        <v>113</v>
      </c>
      <c r="E142">
        <v>8</v>
      </c>
      <c r="F142">
        <v>17</v>
      </c>
      <c r="G142">
        <v>5294952</v>
      </c>
      <c r="H142" s="5">
        <v>1058990</v>
      </c>
      <c r="I142" s="1">
        <v>6</v>
      </c>
      <c r="J142">
        <v>543</v>
      </c>
      <c r="K142">
        <v>2015</v>
      </c>
      <c r="L142">
        <v>8</v>
      </c>
      <c r="M142" t="s">
        <v>513</v>
      </c>
      <c r="N142" t="s">
        <v>13</v>
      </c>
      <c r="O142" t="s">
        <v>566</v>
      </c>
      <c r="P142">
        <v>310</v>
      </c>
      <c r="Q142">
        <v>2</v>
      </c>
      <c r="R142" t="s">
        <v>143</v>
      </c>
      <c r="S142" t="s">
        <v>13</v>
      </c>
      <c r="T142" t="s">
        <v>186</v>
      </c>
      <c r="U142" t="s">
        <v>526</v>
      </c>
      <c r="V142" t="s">
        <v>72</v>
      </c>
      <c r="W142">
        <v>0.2</v>
      </c>
      <c r="X142" t="s">
        <v>196</v>
      </c>
      <c r="Y142" t="s">
        <v>264</v>
      </c>
      <c r="Z142" t="s">
        <v>8</v>
      </c>
      <c r="AA142" t="s">
        <v>4</v>
      </c>
      <c r="AB142">
        <f xml:space="preserve"> COUNTIF(Fact[[#This Row],[Partner.Partner Driven]], "Yes") / COUNTA(Fact[Opportunity ID])</f>
        <v>2.05761316872428E-3</v>
      </c>
      <c r="AC142">
        <f>IFERROR(INDEX(Fact[[#All],[Opportunity ID]],MATCH(X142,Fact[[#All],[salestage.Sales Stage]],0))/INDEX(Fact[[#All],[Opportunity ID]],MATCH(X141,Fact[[#All],[salestage.Sales Stage]],0)), "")</f>
        <v>0.5</v>
      </c>
    </row>
    <row r="143" spans="1:29" x14ac:dyDescent="0.3">
      <c r="A143" s="1">
        <v>42062.457638888889</v>
      </c>
      <c r="B143">
        <v>142</v>
      </c>
      <c r="C143">
        <v>4</v>
      </c>
      <c r="D143">
        <v>11</v>
      </c>
      <c r="E143">
        <v>8</v>
      </c>
      <c r="F143">
        <v>2</v>
      </c>
      <c r="G143">
        <v>5422637</v>
      </c>
      <c r="H143" s="5">
        <v>3253582</v>
      </c>
      <c r="I143" s="1">
        <v>2</v>
      </c>
      <c r="J143">
        <v>421</v>
      </c>
      <c r="K143">
        <v>2015</v>
      </c>
      <c r="L143">
        <v>2</v>
      </c>
      <c r="M143" t="s">
        <v>509</v>
      </c>
      <c r="N143" t="s">
        <v>3</v>
      </c>
      <c r="O143" t="s">
        <v>567</v>
      </c>
      <c r="P143">
        <v>316</v>
      </c>
      <c r="Q143">
        <v>2</v>
      </c>
      <c r="R143" t="s">
        <v>143</v>
      </c>
      <c r="S143" t="s">
        <v>3</v>
      </c>
      <c r="T143" t="s">
        <v>171</v>
      </c>
      <c r="U143" t="s">
        <v>526</v>
      </c>
      <c r="V143" t="s">
        <v>72</v>
      </c>
      <c r="W143">
        <v>0.6</v>
      </c>
      <c r="X143" t="s">
        <v>198</v>
      </c>
      <c r="Y143" t="s">
        <v>18</v>
      </c>
      <c r="Z143" t="s">
        <v>13</v>
      </c>
      <c r="AA143" t="s">
        <v>4</v>
      </c>
      <c r="AB143">
        <f xml:space="preserve"> COUNTIF(Fact[[#This Row],[Partner.Partner Driven]], "Yes") / COUNTA(Fact[Opportunity ID])</f>
        <v>2.05761316872428E-3</v>
      </c>
      <c r="AC143">
        <f>IFERROR(INDEX(Fact[[#All],[Opportunity ID]],MATCH(X143,Fact[[#All],[salestage.Sales Stage]],0))/INDEX(Fact[[#All],[Opportunity ID]],MATCH(X142,Fact[[#All],[salestage.Sales Stage]],0)), "")</f>
        <v>28</v>
      </c>
    </row>
    <row r="144" spans="1:29" x14ac:dyDescent="0.3">
      <c r="A144" s="1">
        <v>42153.457638888889</v>
      </c>
      <c r="B144">
        <v>143</v>
      </c>
      <c r="C144">
        <v>3</v>
      </c>
      <c r="D144">
        <v>11</v>
      </c>
      <c r="E144">
        <v>8</v>
      </c>
      <c r="F144">
        <v>2</v>
      </c>
      <c r="G144">
        <v>4973154</v>
      </c>
      <c r="H144" s="5">
        <v>1989262</v>
      </c>
      <c r="I144" s="1">
        <v>11</v>
      </c>
      <c r="J144">
        <v>413</v>
      </c>
      <c r="K144">
        <v>2015</v>
      </c>
      <c r="L144">
        <v>5</v>
      </c>
      <c r="M144" t="s">
        <v>68</v>
      </c>
      <c r="N144" t="s">
        <v>3</v>
      </c>
      <c r="O144" t="s">
        <v>568</v>
      </c>
      <c r="P144">
        <v>292</v>
      </c>
      <c r="Q144">
        <v>2</v>
      </c>
      <c r="R144" t="s">
        <v>143</v>
      </c>
      <c r="S144" t="s">
        <v>3</v>
      </c>
      <c r="T144" t="s">
        <v>171</v>
      </c>
      <c r="U144" t="s">
        <v>526</v>
      </c>
      <c r="V144" t="s">
        <v>72</v>
      </c>
      <c r="W144">
        <v>0.4</v>
      </c>
      <c r="X144" t="s">
        <v>197</v>
      </c>
      <c r="Y144" t="s">
        <v>18</v>
      </c>
      <c r="Z144" t="s">
        <v>13</v>
      </c>
      <c r="AA144" t="s">
        <v>4</v>
      </c>
      <c r="AB144">
        <f xml:space="preserve"> COUNTIF(Fact[[#This Row],[Partner.Partner Driven]], "Yes") / COUNTA(Fact[Opportunity ID])</f>
        <v>2.05761316872428E-3</v>
      </c>
      <c r="AC144">
        <f>IFERROR(INDEX(Fact[[#All],[Opportunity ID]],MATCH(X144,Fact[[#All],[salestage.Sales Stage]],0))/INDEX(Fact[[#All],[Opportunity ID]],MATCH(X143,Fact[[#All],[salestage.Sales Stage]],0)), "")</f>
        <v>0.32142857142857145</v>
      </c>
    </row>
    <row r="145" spans="1:29" x14ac:dyDescent="0.3">
      <c r="A145" s="1">
        <v>42094.457638888889</v>
      </c>
      <c r="B145">
        <v>144</v>
      </c>
      <c r="C145">
        <v>3</v>
      </c>
      <c r="D145">
        <v>114</v>
      </c>
      <c r="E145">
        <v>22</v>
      </c>
      <c r="F145">
        <v>4</v>
      </c>
      <c r="G145">
        <v>436862</v>
      </c>
      <c r="H145" s="5">
        <v>174745</v>
      </c>
      <c r="I145" s="1">
        <v>3</v>
      </c>
      <c r="J145">
        <v>393</v>
      </c>
      <c r="K145">
        <v>2015</v>
      </c>
      <c r="L145">
        <v>3</v>
      </c>
      <c r="M145" t="s">
        <v>512</v>
      </c>
      <c r="N145" t="s">
        <v>13</v>
      </c>
      <c r="O145" t="s">
        <v>569</v>
      </c>
      <c r="P145">
        <v>39</v>
      </c>
      <c r="Q145">
        <v>1</v>
      </c>
      <c r="R145" t="s">
        <v>138</v>
      </c>
      <c r="S145" t="s">
        <v>13</v>
      </c>
      <c r="T145" t="s">
        <v>173</v>
      </c>
      <c r="U145" t="s">
        <v>84</v>
      </c>
      <c r="V145" t="s">
        <v>85</v>
      </c>
      <c r="W145">
        <v>0.4</v>
      </c>
      <c r="X145" t="s">
        <v>197</v>
      </c>
      <c r="Y145" t="s">
        <v>265</v>
      </c>
      <c r="Z145" t="s">
        <v>8</v>
      </c>
      <c r="AA145" t="s">
        <v>4</v>
      </c>
      <c r="AB145">
        <f xml:space="preserve"> COUNTIF(Fact[[#This Row],[Partner.Partner Driven]], "Yes") / COUNTA(Fact[Opportunity ID])</f>
        <v>0</v>
      </c>
      <c r="AC145">
        <f>IFERROR(INDEX(Fact[[#All],[Opportunity ID]],MATCH(X145,Fact[[#All],[salestage.Sales Stage]],0))/INDEX(Fact[[#All],[Opportunity ID]],MATCH(X144,Fact[[#All],[salestage.Sales Stage]],0)), "")</f>
        <v>1</v>
      </c>
    </row>
    <row r="146" spans="1:29" x14ac:dyDescent="0.3">
      <c r="A146" s="1">
        <v>42369.457638888889</v>
      </c>
      <c r="B146">
        <v>145</v>
      </c>
      <c r="C146">
        <v>1</v>
      </c>
      <c r="D146">
        <v>115</v>
      </c>
      <c r="E146">
        <v>22</v>
      </c>
      <c r="F146">
        <v>2</v>
      </c>
      <c r="G146">
        <v>4780670</v>
      </c>
      <c r="H146" s="5">
        <v>478067</v>
      </c>
      <c r="I146" s="1">
        <v>24</v>
      </c>
      <c r="J146">
        <v>494</v>
      </c>
      <c r="K146">
        <v>2015</v>
      </c>
      <c r="L146">
        <v>12</v>
      </c>
      <c r="M146" t="s">
        <v>508</v>
      </c>
      <c r="N146" t="s">
        <v>8</v>
      </c>
      <c r="O146" t="s">
        <v>570</v>
      </c>
      <c r="P146">
        <v>281</v>
      </c>
      <c r="Q146">
        <v>2</v>
      </c>
      <c r="R146" t="s">
        <v>143</v>
      </c>
      <c r="S146" t="s">
        <v>8</v>
      </c>
      <c r="T146" t="s">
        <v>171</v>
      </c>
      <c r="U146" t="s">
        <v>84</v>
      </c>
      <c r="V146" t="s">
        <v>85</v>
      </c>
      <c r="W146">
        <v>0.1</v>
      </c>
      <c r="X146" t="s">
        <v>195</v>
      </c>
      <c r="Y146" t="s">
        <v>266</v>
      </c>
      <c r="Z146" t="s">
        <v>8</v>
      </c>
      <c r="AA146" t="s">
        <v>9</v>
      </c>
      <c r="AB146">
        <f xml:space="preserve"> COUNTIF(Fact[[#This Row],[Partner.Partner Driven]], "Yes") / COUNTA(Fact[Opportunity ID])</f>
        <v>0</v>
      </c>
      <c r="AC146">
        <f>IFERROR(INDEX(Fact[[#All],[Opportunity ID]],MATCH(X146,Fact[[#All],[salestage.Sales Stage]],0))/INDEX(Fact[[#All],[Opportunity ID]],MATCH(X145,Fact[[#All],[salestage.Sales Stage]],0)), "")</f>
        <v>0.22222222222222221</v>
      </c>
    </row>
    <row r="147" spans="1:29" x14ac:dyDescent="0.3">
      <c r="A147" s="1">
        <v>42079.457638888889</v>
      </c>
      <c r="B147">
        <v>146</v>
      </c>
      <c r="C147">
        <v>2</v>
      </c>
      <c r="D147">
        <v>53</v>
      </c>
      <c r="E147">
        <v>22</v>
      </c>
      <c r="F147">
        <v>1</v>
      </c>
      <c r="G147">
        <v>4969276</v>
      </c>
      <c r="H147" s="5">
        <v>993855</v>
      </c>
      <c r="I147" s="1">
        <v>5</v>
      </c>
      <c r="J147">
        <v>404</v>
      </c>
      <c r="K147">
        <v>2015</v>
      </c>
      <c r="L147">
        <v>3</v>
      </c>
      <c r="M147" t="s">
        <v>512</v>
      </c>
      <c r="N147" t="s">
        <v>8</v>
      </c>
      <c r="O147" t="s">
        <v>571</v>
      </c>
      <c r="P147">
        <v>291</v>
      </c>
      <c r="Q147">
        <v>2</v>
      </c>
      <c r="R147" t="s">
        <v>143</v>
      </c>
      <c r="S147" t="s">
        <v>8</v>
      </c>
      <c r="T147" t="s">
        <v>170</v>
      </c>
      <c r="U147" t="s">
        <v>84</v>
      </c>
      <c r="V147" t="s">
        <v>85</v>
      </c>
      <c r="W147">
        <v>0.2</v>
      </c>
      <c r="X147" t="s">
        <v>196</v>
      </c>
      <c r="Y147" t="s">
        <v>204</v>
      </c>
      <c r="Z147" t="s">
        <v>13</v>
      </c>
      <c r="AA147" t="s">
        <v>4</v>
      </c>
      <c r="AB147">
        <f xml:space="preserve"> COUNTIF(Fact[[#This Row],[Partner.Partner Driven]], "Yes") / COUNTA(Fact[Opportunity ID])</f>
        <v>0</v>
      </c>
      <c r="AC147">
        <f>IFERROR(INDEX(Fact[[#All],[Opportunity ID]],MATCH(X147,Fact[[#All],[salestage.Sales Stage]],0))/INDEX(Fact[[#All],[Opportunity ID]],MATCH(X146,Fact[[#All],[salestage.Sales Stage]],0)), "")</f>
        <v>0.5</v>
      </c>
    </row>
    <row r="148" spans="1:29" x14ac:dyDescent="0.3">
      <c r="A148" s="1">
        <v>42079.457638888889</v>
      </c>
      <c r="B148">
        <v>147</v>
      </c>
      <c r="C148">
        <v>4</v>
      </c>
      <c r="D148">
        <v>116</v>
      </c>
      <c r="E148">
        <v>22</v>
      </c>
      <c r="F148">
        <v>5</v>
      </c>
      <c r="G148">
        <v>3586972</v>
      </c>
      <c r="H148" s="5">
        <v>2152183</v>
      </c>
      <c r="I148" s="1">
        <v>10</v>
      </c>
      <c r="J148">
        <v>371</v>
      </c>
      <c r="K148">
        <v>2015</v>
      </c>
      <c r="L148">
        <v>3</v>
      </c>
      <c r="M148" t="s">
        <v>512</v>
      </c>
      <c r="N148" t="s">
        <v>3</v>
      </c>
      <c r="O148" t="s">
        <v>572</v>
      </c>
      <c r="P148">
        <v>221</v>
      </c>
      <c r="Q148">
        <v>2</v>
      </c>
      <c r="R148" t="s">
        <v>143</v>
      </c>
      <c r="S148" t="s">
        <v>3</v>
      </c>
      <c r="T148" t="s">
        <v>174</v>
      </c>
      <c r="U148" t="s">
        <v>84</v>
      </c>
      <c r="V148" t="s">
        <v>85</v>
      </c>
      <c r="W148">
        <v>0.6</v>
      </c>
      <c r="X148" t="s">
        <v>198</v>
      </c>
      <c r="Y148" t="s">
        <v>267</v>
      </c>
      <c r="Z148" t="s">
        <v>13</v>
      </c>
      <c r="AA148" t="s">
        <v>9</v>
      </c>
      <c r="AB148">
        <f xml:space="preserve"> COUNTIF(Fact[[#This Row],[Partner.Partner Driven]], "Yes") / COUNTA(Fact[Opportunity ID])</f>
        <v>0</v>
      </c>
      <c r="AC148">
        <f>IFERROR(INDEX(Fact[[#All],[Opportunity ID]],MATCH(X148,Fact[[#All],[salestage.Sales Stage]],0))/INDEX(Fact[[#All],[Opportunity ID]],MATCH(X147,Fact[[#All],[salestage.Sales Stage]],0)), "")</f>
        <v>28</v>
      </c>
    </row>
    <row r="149" spans="1:29" x14ac:dyDescent="0.3">
      <c r="A149" s="1">
        <v>42079.457638888889</v>
      </c>
      <c r="B149">
        <v>148</v>
      </c>
      <c r="C149">
        <v>1</v>
      </c>
      <c r="D149">
        <v>117</v>
      </c>
      <c r="E149">
        <v>22</v>
      </c>
      <c r="F149">
        <v>12</v>
      </c>
      <c r="G149">
        <v>2169281</v>
      </c>
      <c r="H149" s="5">
        <v>216928</v>
      </c>
      <c r="I149" s="1">
        <v>7</v>
      </c>
      <c r="J149">
        <v>374</v>
      </c>
      <c r="K149">
        <v>2015</v>
      </c>
      <c r="L149">
        <v>3</v>
      </c>
      <c r="M149" t="s">
        <v>512</v>
      </c>
      <c r="N149" t="s">
        <v>3</v>
      </c>
      <c r="O149" t="s">
        <v>573</v>
      </c>
      <c r="P149">
        <v>143</v>
      </c>
      <c r="Q149">
        <v>1</v>
      </c>
      <c r="R149" t="s">
        <v>138</v>
      </c>
      <c r="S149" t="s">
        <v>3</v>
      </c>
      <c r="T149" t="s">
        <v>181</v>
      </c>
      <c r="U149" t="s">
        <v>84</v>
      </c>
      <c r="V149" t="s">
        <v>85</v>
      </c>
      <c r="W149">
        <v>0.1</v>
      </c>
      <c r="X149" t="s">
        <v>195</v>
      </c>
      <c r="Y149" t="s">
        <v>268</v>
      </c>
      <c r="Z149" t="s">
        <v>13</v>
      </c>
      <c r="AA149" t="s">
        <v>4</v>
      </c>
      <c r="AB149">
        <f xml:space="preserve"> COUNTIF(Fact[[#This Row],[Partner.Partner Driven]], "Yes") / COUNTA(Fact[Opportunity ID])</f>
        <v>0</v>
      </c>
      <c r="AC149">
        <f>IFERROR(INDEX(Fact[[#All],[Opportunity ID]],MATCH(X149,Fact[[#All],[salestage.Sales Stage]],0))/INDEX(Fact[[#All],[Opportunity ID]],MATCH(X148,Fact[[#All],[salestage.Sales Stage]],0)), "")</f>
        <v>7.1428571428571425E-2</v>
      </c>
    </row>
    <row r="150" spans="1:29" x14ac:dyDescent="0.3">
      <c r="A150" s="1">
        <v>42170.457638888889</v>
      </c>
      <c r="B150">
        <v>149</v>
      </c>
      <c r="C150">
        <v>2</v>
      </c>
      <c r="D150">
        <v>118</v>
      </c>
      <c r="E150">
        <v>48</v>
      </c>
      <c r="F150">
        <v>10</v>
      </c>
      <c r="G150">
        <v>9040519</v>
      </c>
      <c r="H150" s="5">
        <v>1808104</v>
      </c>
      <c r="I150" s="1">
        <v>11</v>
      </c>
      <c r="J150">
        <v>520</v>
      </c>
      <c r="K150">
        <v>2015</v>
      </c>
      <c r="L150">
        <v>6</v>
      </c>
      <c r="M150" t="s">
        <v>70</v>
      </c>
      <c r="N150" t="s">
        <v>13</v>
      </c>
      <c r="O150" t="s">
        <v>574</v>
      </c>
      <c r="P150">
        <v>441</v>
      </c>
      <c r="Q150">
        <v>3</v>
      </c>
      <c r="R150" t="s">
        <v>9</v>
      </c>
      <c r="S150" t="s">
        <v>13</v>
      </c>
      <c r="T150" t="s">
        <v>179</v>
      </c>
      <c r="U150" t="s">
        <v>118</v>
      </c>
      <c r="V150" t="s">
        <v>72</v>
      </c>
      <c r="W150">
        <v>0.2</v>
      </c>
      <c r="X150" t="s">
        <v>196</v>
      </c>
      <c r="Y150" t="s">
        <v>269</v>
      </c>
      <c r="Z150" t="s">
        <v>13</v>
      </c>
      <c r="AA150" t="s">
        <v>6</v>
      </c>
      <c r="AB150">
        <f xml:space="preserve"> COUNTIF(Fact[[#This Row],[Partner.Partner Driven]], "Yes") / COUNTA(Fact[Opportunity ID])</f>
        <v>2.05761316872428E-3</v>
      </c>
      <c r="AC150">
        <f>IFERROR(INDEX(Fact[[#All],[Opportunity ID]],MATCH(X150,Fact[[#All],[salestage.Sales Stage]],0))/INDEX(Fact[[#All],[Opportunity ID]],MATCH(X149,Fact[[#All],[salestage.Sales Stage]],0)), "")</f>
        <v>0.5</v>
      </c>
    </row>
    <row r="151" spans="1:29" x14ac:dyDescent="0.3">
      <c r="A151" s="1">
        <v>42009.457638888889</v>
      </c>
      <c r="B151">
        <v>150</v>
      </c>
      <c r="C151">
        <v>3</v>
      </c>
      <c r="D151">
        <v>119</v>
      </c>
      <c r="E151">
        <v>5</v>
      </c>
      <c r="F151">
        <v>19</v>
      </c>
      <c r="G151">
        <v>5289769</v>
      </c>
      <c r="H151" s="5">
        <v>2115908</v>
      </c>
      <c r="I151" s="1">
        <v>5</v>
      </c>
      <c r="J151">
        <v>365</v>
      </c>
      <c r="K151">
        <v>2015</v>
      </c>
      <c r="L151">
        <v>1</v>
      </c>
      <c r="M151" t="s">
        <v>511</v>
      </c>
      <c r="N151" t="s">
        <v>3</v>
      </c>
      <c r="O151" t="s">
        <v>576</v>
      </c>
      <c r="P151">
        <v>307</v>
      </c>
      <c r="Q151">
        <v>2</v>
      </c>
      <c r="R151" t="s">
        <v>143</v>
      </c>
      <c r="S151" t="s">
        <v>3</v>
      </c>
      <c r="T151" t="s">
        <v>188</v>
      </c>
      <c r="U151" t="s">
        <v>129</v>
      </c>
      <c r="V151" t="s">
        <v>72</v>
      </c>
      <c r="W151">
        <v>0.4</v>
      </c>
      <c r="X151" t="s">
        <v>197</v>
      </c>
      <c r="Y151" t="s">
        <v>270</v>
      </c>
      <c r="Z151" t="s">
        <v>8</v>
      </c>
      <c r="AA151" t="s">
        <v>6</v>
      </c>
      <c r="AB151">
        <f xml:space="preserve"> COUNTIF(Fact[[#This Row],[Partner.Partner Driven]], "Yes") / COUNTA(Fact[Opportunity ID])</f>
        <v>2.05761316872428E-3</v>
      </c>
      <c r="AC151">
        <f>IFERROR(INDEX(Fact[[#All],[Opportunity ID]],MATCH(X151,Fact[[#All],[salestage.Sales Stage]],0))/INDEX(Fact[[#All],[Opportunity ID]],MATCH(X150,Fact[[#All],[salestage.Sales Stage]],0)), "")</f>
        <v>9</v>
      </c>
    </row>
    <row r="152" spans="1:29" x14ac:dyDescent="0.3">
      <c r="A152" s="1">
        <v>42308.457638888889</v>
      </c>
      <c r="B152">
        <v>151</v>
      </c>
      <c r="C152">
        <v>1</v>
      </c>
      <c r="D152">
        <v>120</v>
      </c>
      <c r="E152">
        <v>3</v>
      </c>
      <c r="F152">
        <v>8</v>
      </c>
      <c r="G152">
        <v>2696026</v>
      </c>
      <c r="H152" s="5">
        <v>269603</v>
      </c>
      <c r="I152" s="1">
        <v>22</v>
      </c>
      <c r="J152">
        <v>404</v>
      </c>
      <c r="K152">
        <v>2015</v>
      </c>
      <c r="L152">
        <v>10</v>
      </c>
      <c r="M152" t="s">
        <v>505</v>
      </c>
      <c r="N152" t="s">
        <v>13</v>
      </c>
      <c r="O152" t="s">
        <v>577</v>
      </c>
      <c r="P152">
        <v>176</v>
      </c>
      <c r="Q152">
        <v>2</v>
      </c>
      <c r="R152" t="s">
        <v>143</v>
      </c>
      <c r="S152" t="s">
        <v>13</v>
      </c>
      <c r="T152" t="s">
        <v>177</v>
      </c>
      <c r="U152" t="s">
        <v>115</v>
      </c>
      <c r="V152" t="s">
        <v>72</v>
      </c>
      <c r="W152">
        <v>0.1</v>
      </c>
      <c r="X152" t="s">
        <v>195</v>
      </c>
      <c r="Y152" t="s">
        <v>271</v>
      </c>
      <c r="Z152" t="s">
        <v>8</v>
      </c>
      <c r="AA152" t="s">
        <v>9</v>
      </c>
      <c r="AB152">
        <f xml:space="preserve"> COUNTIF(Fact[[#This Row],[Partner.Partner Driven]], "Yes") / COUNTA(Fact[Opportunity ID])</f>
        <v>2.05761316872428E-3</v>
      </c>
      <c r="AC152">
        <f>IFERROR(INDEX(Fact[[#All],[Opportunity ID]],MATCH(X152,Fact[[#All],[salestage.Sales Stage]],0))/INDEX(Fact[[#All],[Opportunity ID]],MATCH(X151,Fact[[#All],[salestage.Sales Stage]],0)), "")</f>
        <v>0.22222222222222221</v>
      </c>
    </row>
    <row r="153" spans="1:29" x14ac:dyDescent="0.3">
      <c r="A153" s="1">
        <v>42369.457638888889</v>
      </c>
      <c r="B153">
        <v>152</v>
      </c>
      <c r="C153">
        <v>1</v>
      </c>
      <c r="D153">
        <v>121</v>
      </c>
      <c r="E153">
        <v>33</v>
      </c>
      <c r="F153">
        <v>15</v>
      </c>
      <c r="G153">
        <v>2197463</v>
      </c>
      <c r="H153" s="5">
        <v>219746</v>
      </c>
      <c r="I153" s="1">
        <v>27</v>
      </c>
      <c r="J153">
        <v>430</v>
      </c>
      <c r="K153">
        <v>2015</v>
      </c>
      <c r="L153">
        <v>12</v>
      </c>
      <c r="M153" t="s">
        <v>508</v>
      </c>
      <c r="N153" t="s">
        <v>13</v>
      </c>
      <c r="O153" t="s">
        <v>578</v>
      </c>
      <c r="P153">
        <v>146</v>
      </c>
      <c r="Q153">
        <v>1</v>
      </c>
      <c r="R153" t="s">
        <v>138</v>
      </c>
      <c r="S153" t="s">
        <v>13</v>
      </c>
      <c r="T153" t="s">
        <v>184</v>
      </c>
      <c r="U153" t="s">
        <v>539</v>
      </c>
      <c r="V153" t="s">
        <v>72</v>
      </c>
      <c r="W153">
        <v>0.1</v>
      </c>
      <c r="X153" t="s">
        <v>195</v>
      </c>
      <c r="Y153" t="s">
        <v>272</v>
      </c>
      <c r="Z153" t="s">
        <v>13</v>
      </c>
      <c r="AA153" t="s">
        <v>6</v>
      </c>
      <c r="AB153">
        <f xml:space="preserve"> COUNTIF(Fact[[#This Row],[Partner.Partner Driven]], "Yes") / COUNTA(Fact[Opportunity ID])</f>
        <v>2.05761316872428E-3</v>
      </c>
      <c r="AC153">
        <f>IFERROR(INDEX(Fact[[#All],[Opportunity ID]],MATCH(X153,Fact[[#All],[salestage.Sales Stage]],0))/INDEX(Fact[[#All],[Opportunity ID]],MATCH(X152,Fact[[#All],[salestage.Sales Stage]],0)), "")</f>
        <v>1</v>
      </c>
    </row>
    <row r="154" spans="1:29" x14ac:dyDescent="0.3">
      <c r="A154" s="1">
        <v>42111.457638888889</v>
      </c>
      <c r="B154">
        <v>153</v>
      </c>
      <c r="C154">
        <v>3</v>
      </c>
      <c r="D154">
        <v>60</v>
      </c>
      <c r="E154">
        <v>22</v>
      </c>
      <c r="F154">
        <v>1</v>
      </c>
      <c r="G154">
        <v>5675097</v>
      </c>
      <c r="H154" s="5">
        <v>2270039</v>
      </c>
      <c r="I154" s="1">
        <v>16</v>
      </c>
      <c r="J154">
        <v>366</v>
      </c>
      <c r="K154">
        <v>2015</v>
      </c>
      <c r="L154">
        <v>4</v>
      </c>
      <c r="M154" t="s">
        <v>510</v>
      </c>
      <c r="N154" t="s">
        <v>13</v>
      </c>
      <c r="O154" t="s">
        <v>579</v>
      </c>
      <c r="P154">
        <v>328</v>
      </c>
      <c r="Q154">
        <v>3</v>
      </c>
      <c r="R154" t="s">
        <v>9</v>
      </c>
      <c r="S154" t="s">
        <v>13</v>
      </c>
      <c r="T154" t="s">
        <v>170</v>
      </c>
      <c r="U154" t="s">
        <v>84</v>
      </c>
      <c r="V154" t="s">
        <v>85</v>
      </c>
      <c r="W154">
        <v>0.4</v>
      </c>
      <c r="X154" t="s">
        <v>197</v>
      </c>
      <c r="Y154" t="s">
        <v>211</v>
      </c>
      <c r="Z154" t="s">
        <v>3</v>
      </c>
      <c r="AA154" t="s">
        <v>9</v>
      </c>
      <c r="AB154">
        <f xml:space="preserve"> COUNTIF(Fact[[#This Row],[Partner.Partner Driven]], "Yes") / COUNTA(Fact[Opportunity ID])</f>
        <v>0</v>
      </c>
      <c r="AC154">
        <f>IFERROR(INDEX(Fact[[#All],[Opportunity ID]],MATCH(X154,Fact[[#All],[salestage.Sales Stage]],0))/INDEX(Fact[[#All],[Opportunity ID]],MATCH(X153,Fact[[#All],[salestage.Sales Stage]],0)), "")</f>
        <v>4.5</v>
      </c>
    </row>
    <row r="155" spans="1:29" x14ac:dyDescent="0.3">
      <c r="A155" s="1">
        <v>42064.457638888889</v>
      </c>
      <c r="B155">
        <v>154</v>
      </c>
      <c r="C155">
        <v>3</v>
      </c>
      <c r="D155">
        <v>122</v>
      </c>
      <c r="E155">
        <v>22</v>
      </c>
      <c r="F155">
        <v>2</v>
      </c>
      <c r="G155">
        <v>3709701</v>
      </c>
      <c r="H155" s="5">
        <v>1483880</v>
      </c>
      <c r="I155" s="1">
        <v>1</v>
      </c>
      <c r="J155">
        <v>365</v>
      </c>
      <c r="K155">
        <v>2015</v>
      </c>
      <c r="L155">
        <v>3</v>
      </c>
      <c r="M155" t="s">
        <v>512</v>
      </c>
      <c r="N155" t="s">
        <v>3</v>
      </c>
      <c r="O155" t="s">
        <v>580</v>
      </c>
      <c r="P155">
        <v>229</v>
      </c>
      <c r="Q155">
        <v>2</v>
      </c>
      <c r="R155" t="s">
        <v>143</v>
      </c>
      <c r="S155" t="s">
        <v>3</v>
      </c>
      <c r="T155" t="s">
        <v>171</v>
      </c>
      <c r="U155" t="s">
        <v>84</v>
      </c>
      <c r="V155" t="s">
        <v>85</v>
      </c>
      <c r="W155">
        <v>0.4</v>
      </c>
      <c r="X155" t="s">
        <v>197</v>
      </c>
      <c r="Y155" t="s">
        <v>273</v>
      </c>
      <c r="Z155" t="s">
        <v>13</v>
      </c>
      <c r="AA155" t="s">
        <v>4</v>
      </c>
      <c r="AB155">
        <f xml:space="preserve"> COUNTIF(Fact[[#This Row],[Partner.Partner Driven]], "Yes") / COUNTA(Fact[Opportunity ID])</f>
        <v>0</v>
      </c>
      <c r="AC155">
        <f>IFERROR(INDEX(Fact[[#All],[Opportunity ID]],MATCH(X155,Fact[[#All],[salestage.Sales Stage]],0))/INDEX(Fact[[#All],[Opportunity ID]],MATCH(X154,Fact[[#All],[salestage.Sales Stage]],0)), "")</f>
        <v>1</v>
      </c>
    </row>
    <row r="156" spans="1:29" x14ac:dyDescent="0.3">
      <c r="A156" s="1">
        <v>42369.457638888889</v>
      </c>
      <c r="B156">
        <v>155</v>
      </c>
      <c r="C156">
        <v>1</v>
      </c>
      <c r="D156">
        <v>123</v>
      </c>
      <c r="E156">
        <v>49</v>
      </c>
      <c r="F156">
        <v>3</v>
      </c>
      <c r="G156">
        <v>1211056</v>
      </c>
      <c r="H156" s="5">
        <v>121106</v>
      </c>
      <c r="I156" s="1">
        <v>1</v>
      </c>
      <c r="J156">
        <v>456</v>
      </c>
      <c r="K156">
        <v>2015</v>
      </c>
      <c r="L156">
        <v>12</v>
      </c>
      <c r="M156" t="s">
        <v>508</v>
      </c>
      <c r="N156" t="s">
        <v>3</v>
      </c>
      <c r="O156" t="s">
        <v>581</v>
      </c>
      <c r="P156">
        <v>83</v>
      </c>
      <c r="Q156">
        <v>1</v>
      </c>
      <c r="R156" t="s">
        <v>138</v>
      </c>
      <c r="S156" t="s">
        <v>3</v>
      </c>
      <c r="T156" t="s">
        <v>172</v>
      </c>
      <c r="U156" t="s">
        <v>111</v>
      </c>
      <c r="V156" t="s">
        <v>72</v>
      </c>
      <c r="W156">
        <v>0.1</v>
      </c>
      <c r="X156" t="s">
        <v>195</v>
      </c>
      <c r="Y156" t="s">
        <v>274</v>
      </c>
      <c r="Z156" t="s">
        <v>13</v>
      </c>
      <c r="AA156" t="s">
        <v>6</v>
      </c>
      <c r="AB156">
        <f xml:space="preserve"> COUNTIF(Fact[[#This Row],[Partner.Partner Driven]], "Yes") / COUNTA(Fact[Opportunity ID])</f>
        <v>2.05761316872428E-3</v>
      </c>
      <c r="AC156">
        <f>IFERROR(INDEX(Fact[[#All],[Opportunity ID]],MATCH(X156,Fact[[#All],[salestage.Sales Stage]],0))/INDEX(Fact[[#All],[Opportunity ID]],MATCH(X155,Fact[[#All],[salestage.Sales Stage]],0)), "")</f>
        <v>0.22222222222222221</v>
      </c>
    </row>
    <row r="157" spans="1:29" x14ac:dyDescent="0.3">
      <c r="A157" s="1">
        <v>42369.457638888889</v>
      </c>
      <c r="B157">
        <v>156</v>
      </c>
      <c r="C157">
        <v>1</v>
      </c>
      <c r="D157">
        <v>124</v>
      </c>
      <c r="E157">
        <v>50</v>
      </c>
      <c r="F157">
        <v>5</v>
      </c>
      <c r="G157">
        <v>11288775</v>
      </c>
      <c r="H157" s="5">
        <v>1128878</v>
      </c>
      <c r="I157" s="1">
        <v>25</v>
      </c>
      <c r="J157">
        <v>646</v>
      </c>
      <c r="K157">
        <v>2015</v>
      </c>
      <c r="L157">
        <v>12</v>
      </c>
      <c r="M157" t="s">
        <v>508</v>
      </c>
      <c r="N157" t="s">
        <v>3</v>
      </c>
      <c r="O157" t="s">
        <v>582</v>
      </c>
      <c r="P157">
        <v>477</v>
      </c>
      <c r="Q157">
        <v>3</v>
      </c>
      <c r="R157" t="s">
        <v>9</v>
      </c>
      <c r="S157" t="s">
        <v>3</v>
      </c>
      <c r="T157" t="s">
        <v>174</v>
      </c>
      <c r="U157" t="s">
        <v>90</v>
      </c>
      <c r="V157" t="s">
        <v>72</v>
      </c>
      <c r="W157">
        <v>0.1</v>
      </c>
      <c r="X157" t="s">
        <v>195</v>
      </c>
      <c r="Y157" t="s">
        <v>275</v>
      </c>
      <c r="Z157" t="s">
        <v>8</v>
      </c>
      <c r="AA157" t="s">
        <v>6</v>
      </c>
      <c r="AB157">
        <f xml:space="preserve"> COUNTIF(Fact[[#This Row],[Partner.Partner Driven]], "Yes") / COUNTA(Fact[Opportunity ID])</f>
        <v>2.05761316872428E-3</v>
      </c>
      <c r="AC157">
        <f>IFERROR(INDEX(Fact[[#All],[Opportunity ID]],MATCH(X157,Fact[[#All],[salestage.Sales Stage]],0))/INDEX(Fact[[#All],[Opportunity ID]],MATCH(X156,Fact[[#All],[salestage.Sales Stage]],0)), "")</f>
        <v>1</v>
      </c>
    </row>
    <row r="158" spans="1:29" x14ac:dyDescent="0.3">
      <c r="A158" s="1">
        <v>42153.457638888889</v>
      </c>
      <c r="B158">
        <v>157</v>
      </c>
      <c r="C158">
        <v>1</v>
      </c>
      <c r="D158">
        <v>125</v>
      </c>
      <c r="E158">
        <v>3</v>
      </c>
      <c r="F158">
        <v>12</v>
      </c>
      <c r="G158">
        <v>7598703</v>
      </c>
      <c r="H158" s="5">
        <v>759870</v>
      </c>
      <c r="I158" s="1">
        <v>22</v>
      </c>
      <c r="J158">
        <v>402</v>
      </c>
      <c r="K158">
        <v>2015</v>
      </c>
      <c r="L158">
        <v>5</v>
      </c>
      <c r="M158" t="s">
        <v>68</v>
      </c>
      <c r="N158" t="s">
        <v>3</v>
      </c>
      <c r="O158" t="s">
        <v>583</v>
      </c>
      <c r="P158">
        <v>403</v>
      </c>
      <c r="Q158">
        <v>3</v>
      </c>
      <c r="R158" t="s">
        <v>9</v>
      </c>
      <c r="S158" t="s">
        <v>3</v>
      </c>
      <c r="T158" t="s">
        <v>181</v>
      </c>
      <c r="U158" t="s">
        <v>115</v>
      </c>
      <c r="V158" t="s">
        <v>72</v>
      </c>
      <c r="W158">
        <v>0.1</v>
      </c>
      <c r="X158" t="s">
        <v>195</v>
      </c>
      <c r="Y158" t="s">
        <v>276</v>
      </c>
      <c r="Z158" t="s">
        <v>3</v>
      </c>
      <c r="AA158" t="s">
        <v>9</v>
      </c>
      <c r="AB158">
        <f xml:space="preserve"> COUNTIF(Fact[[#This Row],[Partner.Partner Driven]], "Yes") / COUNTA(Fact[Opportunity ID])</f>
        <v>2.05761316872428E-3</v>
      </c>
      <c r="AC158">
        <f>IFERROR(INDEX(Fact[[#All],[Opportunity ID]],MATCH(X158,Fact[[#All],[salestage.Sales Stage]],0))/INDEX(Fact[[#All],[Opportunity ID]],MATCH(X157,Fact[[#All],[salestage.Sales Stage]],0)), "")</f>
        <v>1</v>
      </c>
    </row>
    <row r="159" spans="1:29" x14ac:dyDescent="0.3">
      <c r="A159" s="1">
        <v>42328.457638888889</v>
      </c>
      <c r="B159">
        <v>158</v>
      </c>
      <c r="C159">
        <v>1</v>
      </c>
      <c r="D159">
        <v>126</v>
      </c>
      <c r="E159">
        <v>22</v>
      </c>
      <c r="F159">
        <v>19</v>
      </c>
      <c r="G159">
        <v>2691123</v>
      </c>
      <c r="H159" s="5">
        <v>269112</v>
      </c>
      <c r="I159" s="1">
        <v>19</v>
      </c>
      <c r="J159">
        <v>397</v>
      </c>
      <c r="K159">
        <v>2015</v>
      </c>
      <c r="L159">
        <v>11</v>
      </c>
      <c r="M159" t="s">
        <v>506</v>
      </c>
      <c r="N159" t="s">
        <v>13</v>
      </c>
      <c r="O159" t="s">
        <v>584</v>
      </c>
      <c r="P159">
        <v>175</v>
      </c>
      <c r="Q159">
        <v>2</v>
      </c>
      <c r="R159" t="s">
        <v>143</v>
      </c>
      <c r="S159" t="s">
        <v>13</v>
      </c>
      <c r="T159" t="s">
        <v>188</v>
      </c>
      <c r="U159" t="s">
        <v>84</v>
      </c>
      <c r="V159" t="s">
        <v>85</v>
      </c>
      <c r="W159">
        <v>0.1</v>
      </c>
      <c r="X159" t="s">
        <v>195</v>
      </c>
      <c r="Y159" t="s">
        <v>277</v>
      </c>
      <c r="Z159" t="s">
        <v>8</v>
      </c>
      <c r="AA159" t="s">
        <v>9</v>
      </c>
      <c r="AB159">
        <f xml:space="preserve"> COUNTIF(Fact[[#This Row],[Partner.Partner Driven]], "Yes") / COUNTA(Fact[Opportunity ID])</f>
        <v>0</v>
      </c>
      <c r="AC159">
        <f>IFERROR(INDEX(Fact[[#All],[Opportunity ID]],MATCH(X159,Fact[[#All],[salestage.Sales Stage]],0))/INDEX(Fact[[#All],[Opportunity ID]],MATCH(X158,Fact[[#All],[salestage.Sales Stage]],0)), "")</f>
        <v>1</v>
      </c>
    </row>
    <row r="160" spans="1:29" x14ac:dyDescent="0.3">
      <c r="A160" s="1">
        <v>42308.457638888889</v>
      </c>
      <c r="B160">
        <v>159</v>
      </c>
      <c r="C160">
        <v>1</v>
      </c>
      <c r="D160">
        <v>127</v>
      </c>
      <c r="E160">
        <v>3</v>
      </c>
      <c r="F160">
        <v>25</v>
      </c>
      <c r="G160">
        <v>925945</v>
      </c>
      <c r="H160" s="5">
        <v>92595</v>
      </c>
      <c r="I160" s="1">
        <v>30</v>
      </c>
      <c r="J160">
        <v>549</v>
      </c>
      <c r="K160">
        <v>2015</v>
      </c>
      <c r="L160">
        <v>10</v>
      </c>
      <c r="M160" t="s">
        <v>505</v>
      </c>
      <c r="N160" t="s">
        <v>13</v>
      </c>
      <c r="O160" t="s">
        <v>585</v>
      </c>
      <c r="P160">
        <v>65</v>
      </c>
      <c r="Q160">
        <v>1</v>
      </c>
      <c r="R160" t="s">
        <v>138</v>
      </c>
      <c r="S160" t="s">
        <v>13</v>
      </c>
      <c r="T160" t="s">
        <v>194</v>
      </c>
      <c r="U160" t="s">
        <v>115</v>
      </c>
      <c r="V160" t="s">
        <v>72</v>
      </c>
      <c r="W160">
        <v>0.1</v>
      </c>
      <c r="X160" t="s">
        <v>195</v>
      </c>
      <c r="Y160" t="s">
        <v>278</v>
      </c>
      <c r="Z160" t="s">
        <v>3</v>
      </c>
      <c r="AA160" t="s">
        <v>6</v>
      </c>
      <c r="AB160">
        <f xml:space="preserve"> COUNTIF(Fact[[#This Row],[Partner.Partner Driven]], "Yes") / COUNTA(Fact[Opportunity ID])</f>
        <v>2.05761316872428E-3</v>
      </c>
      <c r="AC160">
        <f>IFERROR(INDEX(Fact[[#All],[Opportunity ID]],MATCH(X160,Fact[[#All],[salestage.Sales Stage]],0))/INDEX(Fact[[#All],[Opportunity ID]],MATCH(X159,Fact[[#All],[salestage.Sales Stage]],0)), "")</f>
        <v>1</v>
      </c>
    </row>
    <row r="161" spans="1:29" x14ac:dyDescent="0.3">
      <c r="A161" s="1">
        <v>42032.457638888889</v>
      </c>
      <c r="B161">
        <v>160</v>
      </c>
      <c r="C161">
        <v>4</v>
      </c>
      <c r="D161">
        <v>128</v>
      </c>
      <c r="E161">
        <v>51</v>
      </c>
      <c r="F161">
        <v>1</v>
      </c>
      <c r="G161">
        <v>8783604</v>
      </c>
      <c r="H161" s="5">
        <v>5270162</v>
      </c>
      <c r="I161" s="1">
        <v>7</v>
      </c>
      <c r="J161">
        <v>386</v>
      </c>
      <c r="K161">
        <v>2015</v>
      </c>
      <c r="L161">
        <v>1</v>
      </c>
      <c r="M161" t="s">
        <v>511</v>
      </c>
      <c r="N161" t="s">
        <v>13</v>
      </c>
      <c r="O161" t="s">
        <v>587</v>
      </c>
      <c r="P161">
        <v>434</v>
      </c>
      <c r="Q161">
        <v>3</v>
      </c>
      <c r="R161" t="s">
        <v>9</v>
      </c>
      <c r="S161" t="s">
        <v>13</v>
      </c>
      <c r="T161" t="s">
        <v>170</v>
      </c>
      <c r="U161" t="s">
        <v>104</v>
      </c>
      <c r="V161" t="s">
        <v>72</v>
      </c>
      <c r="W161">
        <v>0.6</v>
      </c>
      <c r="X161" t="s">
        <v>198</v>
      </c>
      <c r="Y161" t="s">
        <v>279</v>
      </c>
      <c r="Z161" t="s">
        <v>8</v>
      </c>
      <c r="AA161" t="s">
        <v>4</v>
      </c>
      <c r="AB161">
        <f xml:space="preserve"> COUNTIF(Fact[[#This Row],[Partner.Partner Driven]], "Yes") / COUNTA(Fact[Opportunity ID])</f>
        <v>2.05761316872428E-3</v>
      </c>
      <c r="AC161">
        <f>IFERROR(INDEX(Fact[[#All],[Opportunity ID]],MATCH(X161,Fact[[#All],[salestage.Sales Stage]],0))/INDEX(Fact[[#All],[Opportunity ID]],MATCH(X160,Fact[[#All],[salestage.Sales Stage]],0)), "")</f>
        <v>14</v>
      </c>
    </row>
    <row r="162" spans="1:29" x14ac:dyDescent="0.3">
      <c r="A162" s="1">
        <v>42034.457638888889</v>
      </c>
      <c r="B162">
        <v>161</v>
      </c>
      <c r="C162">
        <v>5</v>
      </c>
      <c r="D162">
        <v>129</v>
      </c>
      <c r="E162">
        <v>22</v>
      </c>
      <c r="F162">
        <v>12</v>
      </c>
      <c r="G162">
        <v>6081007</v>
      </c>
      <c r="H162" s="5">
        <v>4864806</v>
      </c>
      <c r="I162" s="1">
        <v>7</v>
      </c>
      <c r="J162">
        <v>388</v>
      </c>
      <c r="K162">
        <v>2015</v>
      </c>
      <c r="L162">
        <v>1</v>
      </c>
      <c r="M162" t="s">
        <v>511</v>
      </c>
      <c r="N162" t="s">
        <v>8</v>
      </c>
      <c r="O162" t="s">
        <v>588</v>
      </c>
      <c r="P162">
        <v>347</v>
      </c>
      <c r="Q162">
        <v>3</v>
      </c>
      <c r="R162" t="s">
        <v>9</v>
      </c>
      <c r="S162" t="s">
        <v>8</v>
      </c>
      <c r="T162" t="s">
        <v>181</v>
      </c>
      <c r="U162" t="s">
        <v>84</v>
      </c>
      <c r="V162" t="s">
        <v>85</v>
      </c>
      <c r="W162">
        <v>0.8</v>
      </c>
      <c r="X162" t="s">
        <v>199</v>
      </c>
      <c r="Y162" t="s">
        <v>280</v>
      </c>
      <c r="Z162" t="s">
        <v>13</v>
      </c>
      <c r="AA162" t="s">
        <v>6</v>
      </c>
      <c r="AB162">
        <f xml:space="preserve"> COUNTIF(Fact[[#This Row],[Partner.Partner Driven]], "Yes") / COUNTA(Fact[Opportunity ID])</f>
        <v>0</v>
      </c>
      <c r="AC162">
        <f>IFERROR(INDEX(Fact[[#All],[Opportunity ID]],MATCH(X162,Fact[[#All],[salestage.Sales Stage]],0))/INDEX(Fact[[#All],[Opportunity ID]],MATCH(X161,Fact[[#All],[salestage.Sales Stage]],0)), "")</f>
        <v>1.9285714285714286</v>
      </c>
    </row>
    <row r="163" spans="1:29" x14ac:dyDescent="0.3">
      <c r="A163" s="1">
        <v>42153.457638888889</v>
      </c>
      <c r="B163">
        <v>162</v>
      </c>
      <c r="C163">
        <v>2</v>
      </c>
      <c r="D163">
        <v>130</v>
      </c>
      <c r="E163">
        <v>52</v>
      </c>
      <c r="F163">
        <v>14</v>
      </c>
      <c r="G163">
        <v>7144439</v>
      </c>
      <c r="H163" s="5">
        <v>1428888</v>
      </c>
      <c r="I163" s="1">
        <v>3</v>
      </c>
      <c r="J163">
        <v>511</v>
      </c>
      <c r="K163">
        <v>2015</v>
      </c>
      <c r="L163">
        <v>5</v>
      </c>
      <c r="M163" t="s">
        <v>68</v>
      </c>
      <c r="N163" t="s">
        <v>8</v>
      </c>
      <c r="O163" t="s">
        <v>589</v>
      </c>
      <c r="P163">
        <v>389</v>
      </c>
      <c r="Q163">
        <v>3</v>
      </c>
      <c r="R163" t="s">
        <v>9</v>
      </c>
      <c r="S163" t="s">
        <v>8</v>
      </c>
      <c r="T163" t="s">
        <v>183</v>
      </c>
      <c r="U163" t="s">
        <v>105</v>
      </c>
      <c r="V163" t="s">
        <v>72</v>
      </c>
      <c r="W163">
        <v>0.2</v>
      </c>
      <c r="X163" t="s">
        <v>196</v>
      </c>
      <c r="Y163" t="s">
        <v>281</v>
      </c>
      <c r="Z163" t="s">
        <v>13</v>
      </c>
      <c r="AA163" t="s">
        <v>6</v>
      </c>
      <c r="AB163">
        <f xml:space="preserve"> COUNTIF(Fact[[#This Row],[Partner.Partner Driven]], "Yes") / COUNTA(Fact[Opportunity ID])</f>
        <v>2.05761316872428E-3</v>
      </c>
      <c r="AC163">
        <f>IFERROR(INDEX(Fact[[#All],[Opportunity ID]],MATCH(X163,Fact[[#All],[salestage.Sales Stage]],0))/INDEX(Fact[[#All],[Opportunity ID]],MATCH(X162,Fact[[#All],[salestage.Sales Stage]],0)), "")</f>
        <v>1.8518518518518517E-2</v>
      </c>
    </row>
    <row r="164" spans="1:29" x14ac:dyDescent="0.3">
      <c r="A164" s="1">
        <v>42062.457638888889</v>
      </c>
      <c r="B164">
        <v>163</v>
      </c>
      <c r="C164">
        <v>3</v>
      </c>
      <c r="D164">
        <v>99</v>
      </c>
      <c r="E164">
        <v>22</v>
      </c>
      <c r="F164">
        <v>19</v>
      </c>
      <c r="G164">
        <v>3475768</v>
      </c>
      <c r="H164" s="5">
        <v>1390307</v>
      </c>
      <c r="I164" s="1">
        <v>23</v>
      </c>
      <c r="J164">
        <v>369</v>
      </c>
      <c r="K164">
        <v>2015</v>
      </c>
      <c r="L164">
        <v>2</v>
      </c>
      <c r="M164" t="s">
        <v>509</v>
      </c>
      <c r="N164" t="s">
        <v>8</v>
      </c>
      <c r="O164" t="s">
        <v>590</v>
      </c>
      <c r="P164">
        <v>214</v>
      </c>
      <c r="Q164">
        <v>2</v>
      </c>
      <c r="R164" t="s">
        <v>143</v>
      </c>
      <c r="S164" t="s">
        <v>8</v>
      </c>
      <c r="T164" t="s">
        <v>188</v>
      </c>
      <c r="U164" t="s">
        <v>84</v>
      </c>
      <c r="V164" t="s">
        <v>85</v>
      </c>
      <c r="W164">
        <v>0.4</v>
      </c>
      <c r="X164" t="s">
        <v>197</v>
      </c>
      <c r="Y164" t="s">
        <v>250</v>
      </c>
      <c r="Z164" t="s">
        <v>13</v>
      </c>
      <c r="AA164" t="s">
        <v>6</v>
      </c>
      <c r="AB164">
        <f xml:space="preserve"> COUNTIF(Fact[[#This Row],[Partner.Partner Driven]], "Yes") / COUNTA(Fact[Opportunity ID])</f>
        <v>0</v>
      </c>
      <c r="AC164">
        <f>IFERROR(INDEX(Fact[[#All],[Opportunity ID]],MATCH(X164,Fact[[#All],[salestage.Sales Stage]],0))/INDEX(Fact[[#All],[Opportunity ID]],MATCH(X163,Fact[[#All],[salestage.Sales Stage]],0)), "")</f>
        <v>9</v>
      </c>
    </row>
    <row r="165" spans="1:29" x14ac:dyDescent="0.3">
      <c r="A165" s="1">
        <v>42062.457638888889</v>
      </c>
      <c r="B165">
        <v>164</v>
      </c>
      <c r="C165">
        <v>3</v>
      </c>
      <c r="D165">
        <v>131</v>
      </c>
      <c r="E165">
        <v>22</v>
      </c>
      <c r="F165">
        <v>2</v>
      </c>
      <c r="G165">
        <v>5578451</v>
      </c>
      <c r="H165" s="5">
        <v>2231380</v>
      </c>
      <c r="I165" s="1">
        <v>21</v>
      </c>
      <c r="J165">
        <v>402</v>
      </c>
      <c r="K165">
        <v>2015</v>
      </c>
      <c r="L165">
        <v>2</v>
      </c>
      <c r="M165" t="s">
        <v>509</v>
      </c>
      <c r="N165" t="s">
        <v>3</v>
      </c>
      <c r="O165" t="s">
        <v>591</v>
      </c>
      <c r="P165">
        <v>320</v>
      </c>
      <c r="Q165">
        <v>2</v>
      </c>
      <c r="R165" t="s">
        <v>143</v>
      </c>
      <c r="S165" t="s">
        <v>3</v>
      </c>
      <c r="T165" t="s">
        <v>171</v>
      </c>
      <c r="U165" t="s">
        <v>84</v>
      </c>
      <c r="V165" t="s">
        <v>85</v>
      </c>
      <c r="W165">
        <v>0.4</v>
      </c>
      <c r="X165" t="s">
        <v>197</v>
      </c>
      <c r="Y165" t="s">
        <v>282</v>
      </c>
      <c r="Z165" t="s">
        <v>13</v>
      </c>
      <c r="AA165" t="s">
        <v>6</v>
      </c>
      <c r="AB165">
        <f xml:space="preserve"> COUNTIF(Fact[[#This Row],[Partner.Partner Driven]], "Yes") / COUNTA(Fact[Opportunity ID])</f>
        <v>0</v>
      </c>
      <c r="AC165">
        <f>IFERROR(INDEX(Fact[[#All],[Opportunity ID]],MATCH(X165,Fact[[#All],[salestage.Sales Stage]],0))/INDEX(Fact[[#All],[Opportunity ID]],MATCH(X164,Fact[[#All],[salestage.Sales Stage]],0)), "")</f>
        <v>1</v>
      </c>
    </row>
    <row r="166" spans="1:29" x14ac:dyDescent="0.3">
      <c r="A166" s="1">
        <v>42062.457638888889</v>
      </c>
      <c r="B166">
        <v>165</v>
      </c>
      <c r="C166">
        <v>1</v>
      </c>
      <c r="D166">
        <v>132</v>
      </c>
      <c r="E166">
        <v>22</v>
      </c>
      <c r="F166">
        <v>15</v>
      </c>
      <c r="G166">
        <v>2675623</v>
      </c>
      <c r="H166" s="5">
        <v>267562</v>
      </c>
      <c r="I166" s="1">
        <v>14</v>
      </c>
      <c r="J166">
        <v>378</v>
      </c>
      <c r="K166">
        <v>2015</v>
      </c>
      <c r="L166">
        <v>2</v>
      </c>
      <c r="M166" t="s">
        <v>509</v>
      </c>
      <c r="N166" t="s">
        <v>3</v>
      </c>
      <c r="O166" t="s">
        <v>592</v>
      </c>
      <c r="P166">
        <v>173</v>
      </c>
      <c r="Q166">
        <v>2</v>
      </c>
      <c r="R166" t="s">
        <v>143</v>
      </c>
      <c r="S166" t="s">
        <v>3</v>
      </c>
      <c r="T166" t="s">
        <v>184</v>
      </c>
      <c r="U166" t="s">
        <v>84</v>
      </c>
      <c r="V166" t="s">
        <v>85</v>
      </c>
      <c r="W166">
        <v>0.1</v>
      </c>
      <c r="X166" t="s">
        <v>195</v>
      </c>
      <c r="Y166" t="s">
        <v>283</v>
      </c>
      <c r="Z166" t="s">
        <v>13</v>
      </c>
      <c r="AA166" t="s">
        <v>6</v>
      </c>
      <c r="AB166">
        <f xml:space="preserve"> COUNTIF(Fact[[#This Row],[Partner.Partner Driven]], "Yes") / COUNTA(Fact[Opportunity ID])</f>
        <v>0</v>
      </c>
      <c r="AC166">
        <f>IFERROR(INDEX(Fact[[#All],[Opportunity ID]],MATCH(X166,Fact[[#All],[salestage.Sales Stage]],0))/INDEX(Fact[[#All],[Opportunity ID]],MATCH(X165,Fact[[#All],[salestage.Sales Stage]],0)), "")</f>
        <v>0.22222222222222221</v>
      </c>
    </row>
    <row r="167" spans="1:29" x14ac:dyDescent="0.3">
      <c r="A167" s="1">
        <v>42124.457638888889</v>
      </c>
      <c r="B167">
        <v>166</v>
      </c>
      <c r="C167">
        <v>1</v>
      </c>
      <c r="D167">
        <v>133</v>
      </c>
      <c r="E167">
        <v>22</v>
      </c>
      <c r="F167">
        <v>21</v>
      </c>
      <c r="G167">
        <v>3861791</v>
      </c>
      <c r="H167" s="5">
        <v>386179</v>
      </c>
      <c r="I167" s="1">
        <v>10</v>
      </c>
      <c r="J167">
        <v>385</v>
      </c>
      <c r="K167">
        <v>2015</v>
      </c>
      <c r="L167">
        <v>4</v>
      </c>
      <c r="M167" t="s">
        <v>510</v>
      </c>
      <c r="N167" t="s">
        <v>13</v>
      </c>
      <c r="O167" t="s">
        <v>593</v>
      </c>
      <c r="P167">
        <v>236</v>
      </c>
      <c r="Q167">
        <v>2</v>
      </c>
      <c r="R167" t="s">
        <v>143</v>
      </c>
      <c r="S167" t="s">
        <v>13</v>
      </c>
      <c r="T167" t="s">
        <v>190</v>
      </c>
      <c r="U167" t="s">
        <v>84</v>
      </c>
      <c r="V167" t="s">
        <v>85</v>
      </c>
      <c r="W167">
        <v>0.1</v>
      </c>
      <c r="X167" t="s">
        <v>195</v>
      </c>
      <c r="Y167" t="s">
        <v>284</v>
      </c>
      <c r="Z167" t="s">
        <v>13</v>
      </c>
      <c r="AA167" t="s">
        <v>6</v>
      </c>
      <c r="AB167">
        <f xml:space="preserve"> COUNTIF(Fact[[#This Row],[Partner.Partner Driven]], "Yes") / COUNTA(Fact[Opportunity ID])</f>
        <v>0</v>
      </c>
      <c r="AC167">
        <f>IFERROR(INDEX(Fact[[#All],[Opportunity ID]],MATCH(X167,Fact[[#All],[salestage.Sales Stage]],0))/INDEX(Fact[[#All],[Opportunity ID]],MATCH(X166,Fact[[#All],[salestage.Sales Stage]],0)), "")</f>
        <v>1</v>
      </c>
    </row>
    <row r="168" spans="1:29" x14ac:dyDescent="0.3">
      <c r="A168" s="1">
        <v>42338.457638888889</v>
      </c>
      <c r="B168">
        <v>167</v>
      </c>
      <c r="C168">
        <v>1</v>
      </c>
      <c r="D168">
        <v>134</v>
      </c>
      <c r="E168">
        <v>48</v>
      </c>
      <c r="F168">
        <v>19</v>
      </c>
      <c r="G168">
        <v>9170593</v>
      </c>
      <c r="H168" s="5">
        <v>917059</v>
      </c>
      <c r="I168" s="1">
        <v>19</v>
      </c>
      <c r="J168">
        <v>560</v>
      </c>
      <c r="K168">
        <v>2015</v>
      </c>
      <c r="L168">
        <v>11</v>
      </c>
      <c r="M168" t="s">
        <v>506</v>
      </c>
      <c r="N168" t="s">
        <v>3</v>
      </c>
      <c r="O168" t="s">
        <v>594</v>
      </c>
      <c r="P168">
        <v>444</v>
      </c>
      <c r="Q168">
        <v>3</v>
      </c>
      <c r="R168" t="s">
        <v>9</v>
      </c>
      <c r="S168" t="s">
        <v>3</v>
      </c>
      <c r="T168" t="s">
        <v>188</v>
      </c>
      <c r="U168" t="s">
        <v>118</v>
      </c>
      <c r="V168" t="s">
        <v>72</v>
      </c>
      <c r="W168">
        <v>0.1</v>
      </c>
      <c r="X168" t="s">
        <v>195</v>
      </c>
      <c r="Y168" t="s">
        <v>285</v>
      </c>
      <c r="Z168" t="s">
        <v>13</v>
      </c>
      <c r="AA168" t="s">
        <v>6</v>
      </c>
      <c r="AB168">
        <f xml:space="preserve"> COUNTIF(Fact[[#This Row],[Partner.Partner Driven]], "Yes") / COUNTA(Fact[Opportunity ID])</f>
        <v>2.05761316872428E-3</v>
      </c>
      <c r="AC168">
        <f>IFERROR(INDEX(Fact[[#All],[Opportunity ID]],MATCH(X168,Fact[[#All],[salestage.Sales Stage]],0))/INDEX(Fact[[#All],[Opportunity ID]],MATCH(X167,Fact[[#All],[salestage.Sales Stage]],0)), "")</f>
        <v>1</v>
      </c>
    </row>
    <row r="169" spans="1:29" x14ac:dyDescent="0.3">
      <c r="A169" s="1">
        <v>42062.457638888889</v>
      </c>
      <c r="B169">
        <v>168</v>
      </c>
      <c r="C169">
        <v>3</v>
      </c>
      <c r="D169">
        <v>135</v>
      </c>
      <c r="E169">
        <v>22</v>
      </c>
      <c r="F169">
        <v>10</v>
      </c>
      <c r="G169">
        <v>782755</v>
      </c>
      <c r="H169" s="5">
        <v>313102</v>
      </c>
      <c r="I169" s="1">
        <v>1</v>
      </c>
      <c r="J169">
        <v>391</v>
      </c>
      <c r="K169">
        <v>2015</v>
      </c>
      <c r="L169">
        <v>2</v>
      </c>
      <c r="M169" t="s">
        <v>509</v>
      </c>
      <c r="N169" t="s">
        <v>13</v>
      </c>
      <c r="O169" t="s">
        <v>595</v>
      </c>
      <c r="P169">
        <v>60</v>
      </c>
      <c r="Q169">
        <v>1</v>
      </c>
      <c r="R169" t="s">
        <v>138</v>
      </c>
      <c r="S169" t="s">
        <v>13</v>
      </c>
      <c r="T169" t="s">
        <v>179</v>
      </c>
      <c r="U169" t="s">
        <v>84</v>
      </c>
      <c r="V169" t="s">
        <v>85</v>
      </c>
      <c r="W169">
        <v>0.4</v>
      </c>
      <c r="X169" t="s">
        <v>197</v>
      </c>
      <c r="Y169" t="s">
        <v>286</v>
      </c>
      <c r="Z169" t="s">
        <v>8</v>
      </c>
      <c r="AA169" t="s">
        <v>6</v>
      </c>
      <c r="AB169">
        <f xml:space="preserve"> COUNTIF(Fact[[#This Row],[Partner.Partner Driven]], "Yes") / COUNTA(Fact[Opportunity ID])</f>
        <v>0</v>
      </c>
      <c r="AC169">
        <f>IFERROR(INDEX(Fact[[#All],[Opportunity ID]],MATCH(X169,Fact[[#All],[salestage.Sales Stage]],0))/INDEX(Fact[[#All],[Opportunity ID]],MATCH(X168,Fact[[#All],[salestage.Sales Stage]],0)), "")</f>
        <v>4.5</v>
      </c>
    </row>
    <row r="170" spans="1:29" x14ac:dyDescent="0.3">
      <c r="A170" s="1">
        <v>42062.457638888889</v>
      </c>
      <c r="B170">
        <v>169</v>
      </c>
      <c r="C170">
        <v>4</v>
      </c>
      <c r="D170">
        <v>136</v>
      </c>
      <c r="E170">
        <v>22</v>
      </c>
      <c r="F170">
        <v>4</v>
      </c>
      <c r="G170">
        <v>518120</v>
      </c>
      <c r="H170" s="5">
        <v>310872</v>
      </c>
      <c r="I170" s="1">
        <v>6</v>
      </c>
      <c r="J170">
        <v>417</v>
      </c>
      <c r="K170">
        <v>2015</v>
      </c>
      <c r="L170">
        <v>2</v>
      </c>
      <c r="M170" t="s">
        <v>509</v>
      </c>
      <c r="N170" t="s">
        <v>8</v>
      </c>
      <c r="O170" t="s">
        <v>596</v>
      </c>
      <c r="P170">
        <v>42</v>
      </c>
      <c r="Q170">
        <v>1</v>
      </c>
      <c r="R170" t="s">
        <v>138</v>
      </c>
      <c r="S170" t="s">
        <v>8</v>
      </c>
      <c r="T170" t="s">
        <v>173</v>
      </c>
      <c r="U170" t="s">
        <v>84</v>
      </c>
      <c r="V170" t="s">
        <v>85</v>
      </c>
      <c r="W170">
        <v>0.6</v>
      </c>
      <c r="X170" t="s">
        <v>198</v>
      </c>
      <c r="Y170" t="s">
        <v>287</v>
      </c>
      <c r="Z170" t="s">
        <v>13</v>
      </c>
      <c r="AA170" t="s">
        <v>6</v>
      </c>
      <c r="AB170">
        <f xml:space="preserve"> COUNTIF(Fact[[#This Row],[Partner.Partner Driven]], "Yes") / COUNTA(Fact[Opportunity ID])</f>
        <v>0</v>
      </c>
      <c r="AC170">
        <f>IFERROR(INDEX(Fact[[#All],[Opportunity ID]],MATCH(X170,Fact[[#All],[salestage.Sales Stage]],0))/INDEX(Fact[[#All],[Opportunity ID]],MATCH(X169,Fact[[#All],[salestage.Sales Stage]],0)), "")</f>
        <v>3.1111111111111112</v>
      </c>
    </row>
    <row r="171" spans="1:29" x14ac:dyDescent="0.3">
      <c r="A171" s="1">
        <v>42124.457638888889</v>
      </c>
      <c r="B171">
        <v>170</v>
      </c>
      <c r="C171">
        <v>1</v>
      </c>
      <c r="D171">
        <v>137</v>
      </c>
      <c r="E171">
        <v>22</v>
      </c>
      <c r="F171">
        <v>16</v>
      </c>
      <c r="G171">
        <v>5691292</v>
      </c>
      <c r="H171" s="5">
        <v>569129</v>
      </c>
      <c r="I171" s="1">
        <v>3</v>
      </c>
      <c r="J171">
        <v>423</v>
      </c>
      <c r="K171">
        <v>2015</v>
      </c>
      <c r="L171">
        <v>4</v>
      </c>
      <c r="M171" t="s">
        <v>510</v>
      </c>
      <c r="N171" t="s">
        <v>13</v>
      </c>
      <c r="O171" t="s">
        <v>598</v>
      </c>
      <c r="P171">
        <v>330</v>
      </c>
      <c r="Q171">
        <v>3</v>
      </c>
      <c r="R171" t="s">
        <v>9</v>
      </c>
      <c r="S171" t="s">
        <v>13</v>
      </c>
      <c r="T171" t="s">
        <v>185</v>
      </c>
      <c r="U171" t="s">
        <v>84</v>
      </c>
      <c r="V171" t="s">
        <v>85</v>
      </c>
      <c r="W171">
        <v>0.1</v>
      </c>
      <c r="X171" t="s">
        <v>195</v>
      </c>
      <c r="Y171" t="s">
        <v>288</v>
      </c>
      <c r="Z171" t="s">
        <v>13</v>
      </c>
      <c r="AA171" t="s">
        <v>6</v>
      </c>
      <c r="AB171">
        <f xml:space="preserve"> COUNTIF(Fact[[#This Row],[Partner.Partner Driven]], "Yes") / COUNTA(Fact[Opportunity ID])</f>
        <v>0</v>
      </c>
      <c r="AC171">
        <f>IFERROR(INDEX(Fact[[#All],[Opportunity ID]],MATCH(X171,Fact[[#All],[salestage.Sales Stage]],0))/INDEX(Fact[[#All],[Opportunity ID]],MATCH(X170,Fact[[#All],[salestage.Sales Stage]],0)), "")</f>
        <v>7.1428571428571425E-2</v>
      </c>
    </row>
    <row r="172" spans="1:29" x14ac:dyDescent="0.3">
      <c r="A172" s="1">
        <v>42124.457638888889</v>
      </c>
      <c r="B172">
        <v>171</v>
      </c>
      <c r="C172">
        <v>2</v>
      </c>
      <c r="D172">
        <v>138</v>
      </c>
      <c r="E172">
        <v>22</v>
      </c>
      <c r="F172">
        <v>6</v>
      </c>
      <c r="G172">
        <v>356848</v>
      </c>
      <c r="H172" s="5">
        <v>71370</v>
      </c>
      <c r="I172" s="1">
        <v>23</v>
      </c>
      <c r="J172">
        <v>462</v>
      </c>
      <c r="K172">
        <v>2015</v>
      </c>
      <c r="L172">
        <v>4</v>
      </c>
      <c r="M172" t="s">
        <v>510</v>
      </c>
      <c r="N172" t="s">
        <v>13</v>
      </c>
      <c r="O172" t="s">
        <v>599</v>
      </c>
      <c r="P172">
        <v>32</v>
      </c>
      <c r="Q172">
        <v>1</v>
      </c>
      <c r="R172" t="s">
        <v>138</v>
      </c>
      <c r="S172" t="s">
        <v>13</v>
      </c>
      <c r="T172" t="s">
        <v>175</v>
      </c>
      <c r="U172" t="s">
        <v>84</v>
      </c>
      <c r="V172" t="s">
        <v>85</v>
      </c>
      <c r="W172">
        <v>0.2</v>
      </c>
      <c r="X172" t="s">
        <v>196</v>
      </c>
      <c r="Y172" t="s">
        <v>289</v>
      </c>
      <c r="Z172" t="s">
        <v>13</v>
      </c>
      <c r="AA172" t="s">
        <v>6</v>
      </c>
      <c r="AB172">
        <f xml:space="preserve"> COUNTIF(Fact[[#This Row],[Partner.Partner Driven]], "Yes") / COUNTA(Fact[Opportunity ID])</f>
        <v>0</v>
      </c>
      <c r="AC172">
        <f>IFERROR(INDEX(Fact[[#All],[Opportunity ID]],MATCH(X172,Fact[[#All],[salestage.Sales Stage]],0))/INDEX(Fact[[#All],[Opportunity ID]],MATCH(X171,Fact[[#All],[salestage.Sales Stage]],0)), "")</f>
        <v>0.5</v>
      </c>
    </row>
    <row r="173" spans="1:29" x14ac:dyDescent="0.3">
      <c r="A173" s="1">
        <v>42156.457638888889</v>
      </c>
      <c r="B173">
        <v>172</v>
      </c>
      <c r="C173">
        <v>1</v>
      </c>
      <c r="D173">
        <v>139</v>
      </c>
      <c r="E173">
        <v>22</v>
      </c>
      <c r="F173">
        <v>19</v>
      </c>
      <c r="G173">
        <v>1009421</v>
      </c>
      <c r="H173" s="5">
        <v>100942</v>
      </c>
      <c r="I173" s="1">
        <v>1</v>
      </c>
      <c r="J173">
        <v>426</v>
      </c>
      <c r="K173">
        <v>2015</v>
      </c>
      <c r="L173">
        <v>6</v>
      </c>
      <c r="M173" t="s">
        <v>70</v>
      </c>
      <c r="N173" t="s">
        <v>13</v>
      </c>
      <c r="O173" t="s">
        <v>600</v>
      </c>
      <c r="P173">
        <v>73</v>
      </c>
      <c r="Q173">
        <v>1</v>
      </c>
      <c r="R173" t="s">
        <v>138</v>
      </c>
      <c r="S173" t="s">
        <v>13</v>
      </c>
      <c r="T173" t="s">
        <v>188</v>
      </c>
      <c r="U173" t="s">
        <v>84</v>
      </c>
      <c r="V173" t="s">
        <v>85</v>
      </c>
      <c r="W173">
        <v>0.1</v>
      </c>
      <c r="X173" t="s">
        <v>195</v>
      </c>
      <c r="Y173" t="s">
        <v>290</v>
      </c>
      <c r="Z173" t="s">
        <v>13</v>
      </c>
      <c r="AA173" t="s">
        <v>9</v>
      </c>
      <c r="AB173">
        <f xml:space="preserve"> COUNTIF(Fact[[#This Row],[Partner.Partner Driven]], "Yes") / COUNTA(Fact[Opportunity ID])</f>
        <v>0</v>
      </c>
      <c r="AC173">
        <f>IFERROR(INDEX(Fact[[#All],[Opportunity ID]],MATCH(X173,Fact[[#All],[salestage.Sales Stage]],0))/INDEX(Fact[[#All],[Opportunity ID]],MATCH(X172,Fact[[#All],[salestage.Sales Stage]],0)), "")</f>
        <v>2</v>
      </c>
    </row>
    <row r="174" spans="1:29" x14ac:dyDescent="0.3">
      <c r="A174" s="1">
        <v>42338.457638888889</v>
      </c>
      <c r="B174">
        <v>173</v>
      </c>
      <c r="C174">
        <v>1</v>
      </c>
      <c r="D174">
        <v>52</v>
      </c>
      <c r="E174">
        <v>3</v>
      </c>
      <c r="F174">
        <v>19</v>
      </c>
      <c r="G174">
        <v>6335917</v>
      </c>
      <c r="H174" s="5">
        <v>633592</v>
      </c>
      <c r="I174" s="1">
        <v>27</v>
      </c>
      <c r="J174">
        <v>582</v>
      </c>
      <c r="K174">
        <v>2015</v>
      </c>
      <c r="L174">
        <v>11</v>
      </c>
      <c r="M174" t="s">
        <v>506</v>
      </c>
      <c r="N174" t="s">
        <v>8</v>
      </c>
      <c r="O174" t="s">
        <v>601</v>
      </c>
      <c r="P174">
        <v>360</v>
      </c>
      <c r="Q174">
        <v>3</v>
      </c>
      <c r="R174" t="s">
        <v>9</v>
      </c>
      <c r="S174" t="s">
        <v>8</v>
      </c>
      <c r="T174" t="s">
        <v>188</v>
      </c>
      <c r="U174" t="s">
        <v>115</v>
      </c>
      <c r="V174" t="s">
        <v>72</v>
      </c>
      <c r="W174">
        <v>0.1</v>
      </c>
      <c r="X174" t="s">
        <v>195</v>
      </c>
      <c r="Y174" t="s">
        <v>203</v>
      </c>
      <c r="Z174" t="s">
        <v>3</v>
      </c>
      <c r="AA174" t="s">
        <v>4</v>
      </c>
      <c r="AB174">
        <f xml:space="preserve"> COUNTIF(Fact[[#This Row],[Partner.Partner Driven]], "Yes") / COUNTA(Fact[Opportunity ID])</f>
        <v>2.05761316872428E-3</v>
      </c>
      <c r="AC174">
        <f>IFERROR(INDEX(Fact[[#All],[Opportunity ID]],MATCH(X174,Fact[[#All],[salestage.Sales Stage]],0))/INDEX(Fact[[#All],[Opportunity ID]],MATCH(X173,Fact[[#All],[salestage.Sales Stage]],0)), "")</f>
        <v>1</v>
      </c>
    </row>
    <row r="175" spans="1:29" x14ac:dyDescent="0.3">
      <c r="A175" s="1">
        <v>42308.457638888889</v>
      </c>
      <c r="B175">
        <v>174</v>
      </c>
      <c r="C175">
        <v>1</v>
      </c>
      <c r="D175">
        <v>105</v>
      </c>
      <c r="E175">
        <v>3</v>
      </c>
      <c r="F175">
        <v>1</v>
      </c>
      <c r="G175">
        <v>5633553</v>
      </c>
      <c r="H175" s="5">
        <v>563355</v>
      </c>
      <c r="I175" s="1">
        <v>3</v>
      </c>
      <c r="J175">
        <v>607</v>
      </c>
      <c r="K175">
        <v>2015</v>
      </c>
      <c r="L175">
        <v>10</v>
      </c>
      <c r="M175" t="s">
        <v>505</v>
      </c>
      <c r="N175" t="s">
        <v>3</v>
      </c>
      <c r="O175" t="s">
        <v>602</v>
      </c>
      <c r="P175">
        <v>323</v>
      </c>
      <c r="Q175">
        <v>3</v>
      </c>
      <c r="R175" t="s">
        <v>9</v>
      </c>
      <c r="S175" t="s">
        <v>3</v>
      </c>
      <c r="T175" t="s">
        <v>170</v>
      </c>
      <c r="U175" t="s">
        <v>115</v>
      </c>
      <c r="V175" t="s">
        <v>72</v>
      </c>
      <c r="W175">
        <v>0.1</v>
      </c>
      <c r="X175" t="s">
        <v>195</v>
      </c>
      <c r="Y175" t="s">
        <v>256</v>
      </c>
      <c r="Z175" t="s">
        <v>13</v>
      </c>
      <c r="AA175" t="s">
        <v>9</v>
      </c>
      <c r="AB175">
        <f xml:space="preserve"> COUNTIF(Fact[[#This Row],[Partner.Partner Driven]], "Yes") / COUNTA(Fact[Opportunity ID])</f>
        <v>2.05761316872428E-3</v>
      </c>
      <c r="AC175">
        <f>IFERROR(INDEX(Fact[[#All],[Opportunity ID]],MATCH(X175,Fact[[#All],[salestage.Sales Stage]],0))/INDEX(Fact[[#All],[Opportunity ID]],MATCH(X174,Fact[[#All],[salestage.Sales Stage]],0)), "")</f>
        <v>1</v>
      </c>
    </row>
    <row r="176" spans="1:29" x14ac:dyDescent="0.3">
      <c r="A176" s="1">
        <v>42369.457638888889</v>
      </c>
      <c r="B176">
        <v>175</v>
      </c>
      <c r="C176">
        <v>1</v>
      </c>
      <c r="D176">
        <v>140</v>
      </c>
      <c r="E176">
        <v>3</v>
      </c>
      <c r="F176">
        <v>16</v>
      </c>
      <c r="G176">
        <v>2567520</v>
      </c>
      <c r="H176" s="5">
        <v>256752</v>
      </c>
      <c r="I176" s="1">
        <v>15</v>
      </c>
      <c r="J176">
        <v>684</v>
      </c>
      <c r="K176">
        <v>2015</v>
      </c>
      <c r="L176">
        <v>12</v>
      </c>
      <c r="M176" t="s">
        <v>508</v>
      </c>
      <c r="N176" t="s">
        <v>3</v>
      </c>
      <c r="O176" t="s">
        <v>603</v>
      </c>
      <c r="P176">
        <v>168</v>
      </c>
      <c r="Q176">
        <v>2</v>
      </c>
      <c r="R176" t="s">
        <v>143</v>
      </c>
      <c r="S176" t="s">
        <v>3</v>
      </c>
      <c r="T176" t="s">
        <v>185</v>
      </c>
      <c r="U176" t="s">
        <v>115</v>
      </c>
      <c r="V176" t="s">
        <v>72</v>
      </c>
      <c r="W176">
        <v>0.1</v>
      </c>
      <c r="X176" t="s">
        <v>195</v>
      </c>
      <c r="Y176" t="s">
        <v>291</v>
      </c>
      <c r="Z176" t="s">
        <v>13</v>
      </c>
      <c r="AA176" t="s">
        <v>4</v>
      </c>
      <c r="AB176">
        <f xml:space="preserve"> COUNTIF(Fact[[#This Row],[Partner.Partner Driven]], "Yes") / COUNTA(Fact[Opportunity ID])</f>
        <v>2.05761316872428E-3</v>
      </c>
      <c r="AC176">
        <f>IFERROR(INDEX(Fact[[#All],[Opportunity ID]],MATCH(X176,Fact[[#All],[salestage.Sales Stage]],0))/INDEX(Fact[[#All],[Opportunity ID]],MATCH(X175,Fact[[#All],[salestage.Sales Stage]],0)), "")</f>
        <v>1</v>
      </c>
    </row>
    <row r="177" spans="1:29" x14ac:dyDescent="0.3">
      <c r="A177" s="1">
        <v>42308.457638888889</v>
      </c>
      <c r="B177">
        <v>176</v>
      </c>
      <c r="C177">
        <v>1</v>
      </c>
      <c r="D177">
        <v>3</v>
      </c>
      <c r="E177">
        <v>3</v>
      </c>
      <c r="F177">
        <v>5</v>
      </c>
      <c r="G177">
        <v>73320</v>
      </c>
      <c r="H177" s="5">
        <v>7332</v>
      </c>
      <c r="I177" s="1">
        <v>9</v>
      </c>
      <c r="J177">
        <v>387</v>
      </c>
      <c r="K177">
        <v>2015</v>
      </c>
      <c r="L177">
        <v>10</v>
      </c>
      <c r="M177" t="s">
        <v>505</v>
      </c>
      <c r="N177" t="s">
        <v>8</v>
      </c>
      <c r="O177" t="s">
        <v>604</v>
      </c>
      <c r="P177">
        <v>8</v>
      </c>
      <c r="Q177">
        <v>1</v>
      </c>
      <c r="R177" t="s">
        <v>138</v>
      </c>
      <c r="S177" t="s">
        <v>8</v>
      </c>
      <c r="T177" t="s">
        <v>174</v>
      </c>
      <c r="U177" t="s">
        <v>115</v>
      </c>
      <c r="V177" t="s">
        <v>72</v>
      </c>
      <c r="W177">
        <v>0.1</v>
      </c>
      <c r="X177" t="s">
        <v>195</v>
      </c>
      <c r="Y177" t="s">
        <v>7</v>
      </c>
      <c r="Z177" t="s">
        <v>8</v>
      </c>
      <c r="AA177" t="s">
        <v>9</v>
      </c>
      <c r="AB177">
        <f xml:space="preserve"> COUNTIF(Fact[[#This Row],[Partner.Partner Driven]], "Yes") / COUNTA(Fact[Opportunity ID])</f>
        <v>2.05761316872428E-3</v>
      </c>
      <c r="AC177">
        <f>IFERROR(INDEX(Fact[[#All],[Opportunity ID]],MATCH(X177,Fact[[#All],[salestage.Sales Stage]],0))/INDEX(Fact[[#All],[Opportunity ID]],MATCH(X176,Fact[[#All],[salestage.Sales Stage]],0)), "")</f>
        <v>1</v>
      </c>
    </row>
    <row r="178" spans="1:29" x14ac:dyDescent="0.3">
      <c r="A178" s="1">
        <v>42308.457638888889</v>
      </c>
      <c r="B178">
        <v>177</v>
      </c>
      <c r="C178">
        <v>1</v>
      </c>
      <c r="D178">
        <v>141</v>
      </c>
      <c r="E178">
        <v>3</v>
      </c>
      <c r="F178">
        <v>21</v>
      </c>
      <c r="G178">
        <v>378905</v>
      </c>
      <c r="H178" s="5">
        <v>37891</v>
      </c>
      <c r="I178" s="1">
        <v>7</v>
      </c>
      <c r="J178">
        <v>389</v>
      </c>
      <c r="K178">
        <v>2015</v>
      </c>
      <c r="L178">
        <v>10</v>
      </c>
      <c r="M178" t="s">
        <v>505</v>
      </c>
      <c r="N178" t="s">
        <v>3</v>
      </c>
      <c r="O178" t="s">
        <v>605</v>
      </c>
      <c r="P178">
        <v>35</v>
      </c>
      <c r="Q178">
        <v>1</v>
      </c>
      <c r="R178" t="s">
        <v>138</v>
      </c>
      <c r="S178" t="s">
        <v>3</v>
      </c>
      <c r="T178" t="s">
        <v>190</v>
      </c>
      <c r="U178" t="s">
        <v>115</v>
      </c>
      <c r="V178" t="s">
        <v>72</v>
      </c>
      <c r="W178">
        <v>0.1</v>
      </c>
      <c r="X178" t="s">
        <v>195</v>
      </c>
      <c r="Y178" t="s">
        <v>292</v>
      </c>
      <c r="Z178" t="s">
        <v>13</v>
      </c>
      <c r="AA178" t="s">
        <v>4</v>
      </c>
      <c r="AB178">
        <f xml:space="preserve"> COUNTIF(Fact[[#This Row],[Partner.Partner Driven]], "Yes") / COUNTA(Fact[Opportunity ID])</f>
        <v>2.05761316872428E-3</v>
      </c>
      <c r="AC178">
        <f>IFERROR(INDEX(Fact[[#All],[Opportunity ID]],MATCH(X178,Fact[[#All],[salestage.Sales Stage]],0))/INDEX(Fact[[#All],[Opportunity ID]],MATCH(X177,Fact[[#All],[salestage.Sales Stage]],0)), "")</f>
        <v>1</v>
      </c>
    </row>
    <row r="179" spans="1:29" x14ac:dyDescent="0.3">
      <c r="A179" s="1">
        <v>42170.457638888889</v>
      </c>
      <c r="B179">
        <v>178</v>
      </c>
      <c r="C179">
        <v>1</v>
      </c>
      <c r="D179">
        <v>142</v>
      </c>
      <c r="E179">
        <v>22</v>
      </c>
      <c r="F179">
        <v>17</v>
      </c>
      <c r="G179">
        <v>6407018</v>
      </c>
      <c r="H179" s="5">
        <v>640702</v>
      </c>
      <c r="I179" s="1">
        <v>12</v>
      </c>
      <c r="J179">
        <v>460</v>
      </c>
      <c r="K179">
        <v>2015</v>
      </c>
      <c r="L179">
        <v>6</v>
      </c>
      <c r="M179" t="s">
        <v>70</v>
      </c>
      <c r="N179" t="s">
        <v>3</v>
      </c>
      <c r="O179" t="s">
        <v>606</v>
      </c>
      <c r="P179">
        <v>364</v>
      </c>
      <c r="Q179">
        <v>3</v>
      </c>
      <c r="R179" t="s">
        <v>9</v>
      </c>
      <c r="S179" t="s">
        <v>3</v>
      </c>
      <c r="T179" t="s">
        <v>186</v>
      </c>
      <c r="U179" t="s">
        <v>84</v>
      </c>
      <c r="V179" t="s">
        <v>85</v>
      </c>
      <c r="W179">
        <v>0.1</v>
      </c>
      <c r="X179" t="s">
        <v>195</v>
      </c>
      <c r="Y179" t="s">
        <v>293</v>
      </c>
      <c r="Z179" t="s">
        <v>13</v>
      </c>
      <c r="AA179" t="s">
        <v>6</v>
      </c>
      <c r="AB179">
        <f xml:space="preserve"> COUNTIF(Fact[[#This Row],[Partner.Partner Driven]], "Yes") / COUNTA(Fact[Opportunity ID])</f>
        <v>0</v>
      </c>
      <c r="AC179">
        <f>IFERROR(INDEX(Fact[[#All],[Opportunity ID]],MATCH(X179,Fact[[#All],[salestage.Sales Stage]],0))/INDEX(Fact[[#All],[Opportunity ID]],MATCH(X178,Fact[[#All],[salestage.Sales Stage]],0)), "")</f>
        <v>1</v>
      </c>
    </row>
    <row r="180" spans="1:29" x14ac:dyDescent="0.3">
      <c r="A180" s="1">
        <v>42170.457638888889</v>
      </c>
      <c r="B180">
        <v>179</v>
      </c>
      <c r="C180">
        <v>2</v>
      </c>
      <c r="D180">
        <v>143</v>
      </c>
      <c r="E180">
        <v>22</v>
      </c>
      <c r="F180">
        <v>16</v>
      </c>
      <c r="G180">
        <v>1646049</v>
      </c>
      <c r="H180" s="5">
        <v>329210</v>
      </c>
      <c r="I180" s="1">
        <v>2</v>
      </c>
      <c r="J180">
        <v>439</v>
      </c>
      <c r="K180">
        <v>2015</v>
      </c>
      <c r="L180">
        <v>6</v>
      </c>
      <c r="M180" t="s">
        <v>70</v>
      </c>
      <c r="N180" t="s">
        <v>13</v>
      </c>
      <c r="O180" t="s">
        <v>607</v>
      </c>
      <c r="P180">
        <v>110</v>
      </c>
      <c r="Q180">
        <v>1</v>
      </c>
      <c r="R180" t="s">
        <v>138</v>
      </c>
      <c r="S180" t="s">
        <v>13</v>
      </c>
      <c r="T180" t="s">
        <v>185</v>
      </c>
      <c r="U180" t="s">
        <v>84</v>
      </c>
      <c r="V180" t="s">
        <v>85</v>
      </c>
      <c r="W180">
        <v>0.2</v>
      </c>
      <c r="X180" t="s">
        <v>196</v>
      </c>
      <c r="Y180" t="s">
        <v>294</v>
      </c>
      <c r="Z180" t="s">
        <v>13</v>
      </c>
      <c r="AA180" t="s">
        <v>6</v>
      </c>
      <c r="AB180">
        <f xml:space="preserve"> COUNTIF(Fact[[#This Row],[Partner.Partner Driven]], "Yes") / COUNTA(Fact[Opportunity ID])</f>
        <v>0</v>
      </c>
      <c r="AC180">
        <f>IFERROR(INDEX(Fact[[#All],[Opportunity ID]],MATCH(X180,Fact[[#All],[salestage.Sales Stage]],0))/INDEX(Fact[[#All],[Opportunity ID]],MATCH(X179,Fact[[#All],[salestage.Sales Stage]],0)), "")</f>
        <v>0.5</v>
      </c>
    </row>
    <row r="181" spans="1:29" x14ac:dyDescent="0.3">
      <c r="A181" s="1">
        <v>42155.457638888889</v>
      </c>
      <c r="B181">
        <v>180</v>
      </c>
      <c r="C181">
        <v>2</v>
      </c>
      <c r="D181">
        <v>144</v>
      </c>
      <c r="E181">
        <v>22</v>
      </c>
      <c r="F181">
        <v>22</v>
      </c>
      <c r="G181">
        <v>930892</v>
      </c>
      <c r="H181" s="5">
        <v>186178</v>
      </c>
      <c r="I181" s="1">
        <v>25</v>
      </c>
      <c r="J181">
        <v>401</v>
      </c>
      <c r="K181">
        <v>2015</v>
      </c>
      <c r="L181">
        <v>5</v>
      </c>
      <c r="M181" t="s">
        <v>68</v>
      </c>
      <c r="N181" t="s">
        <v>13</v>
      </c>
      <c r="O181" t="s">
        <v>609</v>
      </c>
      <c r="P181">
        <v>66</v>
      </c>
      <c r="Q181">
        <v>1</v>
      </c>
      <c r="R181" t="s">
        <v>138</v>
      </c>
      <c r="S181" t="s">
        <v>13</v>
      </c>
      <c r="T181" t="s">
        <v>191</v>
      </c>
      <c r="U181" t="s">
        <v>84</v>
      </c>
      <c r="V181" t="s">
        <v>85</v>
      </c>
      <c r="W181">
        <v>0.2</v>
      </c>
      <c r="X181" t="s">
        <v>196</v>
      </c>
      <c r="Y181" t="s">
        <v>295</v>
      </c>
      <c r="Z181" t="s">
        <v>13</v>
      </c>
      <c r="AA181" t="s">
        <v>6</v>
      </c>
      <c r="AB181">
        <f xml:space="preserve"> COUNTIF(Fact[[#This Row],[Partner.Partner Driven]], "Yes") / COUNTA(Fact[Opportunity ID])</f>
        <v>0</v>
      </c>
      <c r="AC181">
        <f>IFERROR(INDEX(Fact[[#All],[Opportunity ID]],MATCH(X181,Fact[[#All],[salestage.Sales Stage]],0))/INDEX(Fact[[#All],[Opportunity ID]],MATCH(X180,Fact[[#All],[salestage.Sales Stage]],0)), "")</f>
        <v>1</v>
      </c>
    </row>
    <row r="182" spans="1:29" x14ac:dyDescent="0.3">
      <c r="A182" s="1">
        <v>42170.457638888889</v>
      </c>
      <c r="B182">
        <v>181</v>
      </c>
      <c r="C182">
        <v>2</v>
      </c>
      <c r="D182">
        <v>145</v>
      </c>
      <c r="E182">
        <v>22</v>
      </c>
      <c r="F182">
        <v>23</v>
      </c>
      <c r="G182">
        <v>2121888</v>
      </c>
      <c r="H182" s="5">
        <v>424378</v>
      </c>
      <c r="I182" s="1">
        <v>11</v>
      </c>
      <c r="J182">
        <v>489</v>
      </c>
      <c r="K182">
        <v>2015</v>
      </c>
      <c r="L182">
        <v>6</v>
      </c>
      <c r="M182" t="s">
        <v>70</v>
      </c>
      <c r="N182" t="s">
        <v>3</v>
      </c>
      <c r="O182" t="s">
        <v>610</v>
      </c>
      <c r="P182">
        <v>138</v>
      </c>
      <c r="Q182">
        <v>1</v>
      </c>
      <c r="R182" t="s">
        <v>138</v>
      </c>
      <c r="S182" t="s">
        <v>3</v>
      </c>
      <c r="T182" t="s">
        <v>192</v>
      </c>
      <c r="U182" t="s">
        <v>84</v>
      </c>
      <c r="V182" t="s">
        <v>85</v>
      </c>
      <c r="W182">
        <v>0.2</v>
      </c>
      <c r="X182" t="s">
        <v>196</v>
      </c>
      <c r="Y182" t="s">
        <v>296</v>
      </c>
      <c r="Z182" t="s">
        <v>13</v>
      </c>
      <c r="AA182" t="s">
        <v>6</v>
      </c>
      <c r="AB182">
        <f xml:space="preserve"> COUNTIF(Fact[[#This Row],[Partner.Partner Driven]], "Yes") / COUNTA(Fact[Opportunity ID])</f>
        <v>0</v>
      </c>
      <c r="AC182">
        <f>IFERROR(INDEX(Fact[[#All],[Opportunity ID]],MATCH(X182,Fact[[#All],[salestage.Sales Stage]],0))/INDEX(Fact[[#All],[Opportunity ID]],MATCH(X181,Fact[[#All],[salestage.Sales Stage]],0)), "")</f>
        <v>1</v>
      </c>
    </row>
    <row r="183" spans="1:29" x14ac:dyDescent="0.3">
      <c r="A183" s="1">
        <v>42170.457638888889</v>
      </c>
      <c r="B183">
        <v>182</v>
      </c>
      <c r="C183">
        <v>1</v>
      </c>
      <c r="D183">
        <v>146</v>
      </c>
      <c r="E183">
        <v>22</v>
      </c>
      <c r="F183">
        <v>19</v>
      </c>
      <c r="G183">
        <v>2051691</v>
      </c>
      <c r="H183" s="5">
        <v>205169</v>
      </c>
      <c r="I183" s="1">
        <v>8</v>
      </c>
      <c r="J183">
        <v>492</v>
      </c>
      <c r="K183">
        <v>2015</v>
      </c>
      <c r="L183">
        <v>6</v>
      </c>
      <c r="M183" t="s">
        <v>70</v>
      </c>
      <c r="N183" t="s">
        <v>13</v>
      </c>
      <c r="O183" t="s">
        <v>611</v>
      </c>
      <c r="P183">
        <v>136</v>
      </c>
      <c r="Q183">
        <v>1</v>
      </c>
      <c r="R183" t="s">
        <v>138</v>
      </c>
      <c r="S183" t="s">
        <v>13</v>
      </c>
      <c r="T183" t="s">
        <v>188</v>
      </c>
      <c r="U183" t="s">
        <v>84</v>
      </c>
      <c r="V183" t="s">
        <v>85</v>
      </c>
      <c r="W183">
        <v>0.1</v>
      </c>
      <c r="X183" t="s">
        <v>195</v>
      </c>
      <c r="Y183" t="s">
        <v>297</v>
      </c>
      <c r="Z183" t="s">
        <v>13</v>
      </c>
      <c r="AA183" t="s">
        <v>6</v>
      </c>
      <c r="AB183">
        <f xml:space="preserve"> COUNTIF(Fact[[#This Row],[Partner.Partner Driven]], "Yes") / COUNTA(Fact[Opportunity ID])</f>
        <v>0</v>
      </c>
      <c r="AC183">
        <f>IFERROR(INDEX(Fact[[#All],[Opportunity ID]],MATCH(X183,Fact[[#All],[salestage.Sales Stage]],0))/INDEX(Fact[[#All],[Opportunity ID]],MATCH(X182,Fact[[#All],[salestage.Sales Stage]],0)), "")</f>
        <v>2</v>
      </c>
    </row>
    <row r="184" spans="1:29" x14ac:dyDescent="0.3">
      <c r="A184" s="1">
        <v>42170.457638888889</v>
      </c>
      <c r="B184">
        <v>183</v>
      </c>
      <c r="C184">
        <v>2</v>
      </c>
      <c r="D184">
        <v>147</v>
      </c>
      <c r="E184">
        <v>22</v>
      </c>
      <c r="F184">
        <v>23</v>
      </c>
      <c r="G184">
        <v>2461379</v>
      </c>
      <c r="H184" s="5">
        <v>492276</v>
      </c>
      <c r="I184" s="1">
        <v>1</v>
      </c>
      <c r="J184">
        <v>440</v>
      </c>
      <c r="K184">
        <v>2015</v>
      </c>
      <c r="L184">
        <v>6</v>
      </c>
      <c r="M184" t="s">
        <v>70</v>
      </c>
      <c r="N184" t="s">
        <v>8</v>
      </c>
      <c r="O184" t="s">
        <v>612</v>
      </c>
      <c r="P184">
        <v>162</v>
      </c>
      <c r="Q184">
        <v>2</v>
      </c>
      <c r="R184" t="s">
        <v>143</v>
      </c>
      <c r="S184" t="s">
        <v>8</v>
      </c>
      <c r="T184" t="s">
        <v>192</v>
      </c>
      <c r="U184" t="s">
        <v>84</v>
      </c>
      <c r="V184" t="s">
        <v>85</v>
      </c>
      <c r="W184">
        <v>0.2</v>
      </c>
      <c r="X184" t="s">
        <v>196</v>
      </c>
      <c r="Y184" t="s">
        <v>298</v>
      </c>
      <c r="Z184" t="s">
        <v>13</v>
      </c>
      <c r="AA184" t="s">
        <v>6</v>
      </c>
      <c r="AB184">
        <f xml:space="preserve"> COUNTIF(Fact[[#This Row],[Partner.Partner Driven]], "Yes") / COUNTA(Fact[Opportunity ID])</f>
        <v>0</v>
      </c>
      <c r="AC184">
        <f>IFERROR(INDEX(Fact[[#All],[Opportunity ID]],MATCH(X184,Fact[[#All],[salestage.Sales Stage]],0))/INDEX(Fact[[#All],[Opportunity ID]],MATCH(X183,Fact[[#All],[salestage.Sales Stage]],0)), "")</f>
        <v>0.5</v>
      </c>
    </row>
    <row r="185" spans="1:29" x14ac:dyDescent="0.3">
      <c r="A185" s="1">
        <v>42170.457638888889</v>
      </c>
      <c r="B185">
        <v>184</v>
      </c>
      <c r="C185">
        <v>3</v>
      </c>
      <c r="D185">
        <v>148</v>
      </c>
      <c r="E185">
        <v>22</v>
      </c>
      <c r="F185">
        <v>18</v>
      </c>
      <c r="G185">
        <v>2211507</v>
      </c>
      <c r="H185" s="5">
        <v>884603</v>
      </c>
      <c r="I185" s="1">
        <v>15</v>
      </c>
      <c r="J185">
        <v>365</v>
      </c>
      <c r="K185">
        <v>2015</v>
      </c>
      <c r="L185">
        <v>6</v>
      </c>
      <c r="M185" t="s">
        <v>70</v>
      </c>
      <c r="N185" t="s">
        <v>13</v>
      </c>
      <c r="O185" t="s">
        <v>613</v>
      </c>
      <c r="P185">
        <v>149</v>
      </c>
      <c r="Q185">
        <v>1</v>
      </c>
      <c r="R185" t="s">
        <v>138</v>
      </c>
      <c r="S185" t="s">
        <v>13</v>
      </c>
      <c r="T185" t="s">
        <v>187</v>
      </c>
      <c r="U185" t="s">
        <v>84</v>
      </c>
      <c r="V185" t="s">
        <v>85</v>
      </c>
      <c r="W185">
        <v>0.4</v>
      </c>
      <c r="X185" t="s">
        <v>197</v>
      </c>
      <c r="Y185" t="s">
        <v>299</v>
      </c>
      <c r="Z185" t="s">
        <v>13</v>
      </c>
      <c r="AA185" t="s">
        <v>6</v>
      </c>
      <c r="AB185">
        <f xml:space="preserve"> COUNTIF(Fact[[#This Row],[Partner.Partner Driven]], "Yes") / COUNTA(Fact[Opportunity ID])</f>
        <v>0</v>
      </c>
      <c r="AC185">
        <f>IFERROR(INDEX(Fact[[#All],[Opportunity ID]],MATCH(X185,Fact[[#All],[salestage.Sales Stage]],0))/INDEX(Fact[[#All],[Opportunity ID]],MATCH(X184,Fact[[#All],[salestage.Sales Stage]],0)), "")</f>
        <v>9</v>
      </c>
    </row>
    <row r="186" spans="1:29" x14ac:dyDescent="0.3">
      <c r="A186" s="1">
        <v>42124.457638888889</v>
      </c>
      <c r="B186">
        <v>185</v>
      </c>
      <c r="C186">
        <v>2</v>
      </c>
      <c r="D186">
        <v>149</v>
      </c>
      <c r="E186">
        <v>53</v>
      </c>
      <c r="F186">
        <v>13</v>
      </c>
      <c r="G186">
        <v>523848</v>
      </c>
      <c r="H186" s="5">
        <v>104770</v>
      </c>
      <c r="I186" s="1">
        <v>6</v>
      </c>
      <c r="J186">
        <v>479</v>
      </c>
      <c r="K186">
        <v>2015</v>
      </c>
      <c r="L186">
        <v>4</v>
      </c>
      <c r="M186" t="s">
        <v>510</v>
      </c>
      <c r="N186" t="s">
        <v>8</v>
      </c>
      <c r="O186" t="s">
        <v>614</v>
      </c>
      <c r="P186">
        <v>43</v>
      </c>
      <c r="Q186">
        <v>1</v>
      </c>
      <c r="R186" t="s">
        <v>138</v>
      </c>
      <c r="S186" t="s">
        <v>8</v>
      </c>
      <c r="T186" t="s">
        <v>182</v>
      </c>
      <c r="U186" t="s">
        <v>519</v>
      </c>
      <c r="V186" t="s">
        <v>72</v>
      </c>
      <c r="W186">
        <v>0.2</v>
      </c>
      <c r="X186" t="s">
        <v>196</v>
      </c>
      <c r="Y186" t="s">
        <v>300</v>
      </c>
      <c r="Z186" t="s">
        <v>13</v>
      </c>
      <c r="AA186" t="s">
        <v>6</v>
      </c>
      <c r="AB186">
        <f xml:space="preserve"> COUNTIF(Fact[[#This Row],[Partner.Partner Driven]], "Yes") / COUNTA(Fact[Opportunity ID])</f>
        <v>2.05761316872428E-3</v>
      </c>
      <c r="AC186">
        <f>IFERROR(INDEX(Fact[[#All],[Opportunity ID]],MATCH(X186,Fact[[#All],[salestage.Sales Stage]],0))/INDEX(Fact[[#All],[Opportunity ID]],MATCH(X185,Fact[[#All],[salestage.Sales Stage]],0)), "")</f>
        <v>0.1111111111111111</v>
      </c>
    </row>
    <row r="187" spans="1:29" x14ac:dyDescent="0.3">
      <c r="A187" s="1">
        <v>42170.457638888889</v>
      </c>
      <c r="B187">
        <v>186</v>
      </c>
      <c r="C187">
        <v>1</v>
      </c>
      <c r="D187">
        <v>150</v>
      </c>
      <c r="E187">
        <v>22</v>
      </c>
      <c r="F187">
        <v>15</v>
      </c>
      <c r="G187">
        <v>1174333</v>
      </c>
      <c r="H187" s="5">
        <v>117433</v>
      </c>
      <c r="I187" s="1">
        <v>4</v>
      </c>
      <c r="J187">
        <v>496</v>
      </c>
      <c r="K187">
        <v>2015</v>
      </c>
      <c r="L187">
        <v>6</v>
      </c>
      <c r="M187" t="s">
        <v>70</v>
      </c>
      <c r="N187" t="s">
        <v>13</v>
      </c>
      <c r="O187" t="s">
        <v>615</v>
      </c>
      <c r="P187">
        <v>81</v>
      </c>
      <c r="Q187">
        <v>1</v>
      </c>
      <c r="R187" t="s">
        <v>138</v>
      </c>
      <c r="S187" t="s">
        <v>13</v>
      </c>
      <c r="T187" t="s">
        <v>184</v>
      </c>
      <c r="U187" t="s">
        <v>84</v>
      </c>
      <c r="V187" t="s">
        <v>85</v>
      </c>
      <c r="W187">
        <v>0.1</v>
      </c>
      <c r="X187" t="s">
        <v>195</v>
      </c>
      <c r="Y187" t="s">
        <v>301</v>
      </c>
      <c r="Z187" t="s">
        <v>13</v>
      </c>
      <c r="AA187" t="s">
        <v>6</v>
      </c>
      <c r="AB187">
        <f xml:space="preserve"> COUNTIF(Fact[[#This Row],[Partner.Partner Driven]], "Yes") / COUNTA(Fact[Opportunity ID])</f>
        <v>0</v>
      </c>
      <c r="AC187">
        <f>IFERROR(INDEX(Fact[[#All],[Opportunity ID]],MATCH(X187,Fact[[#All],[salestage.Sales Stage]],0))/INDEX(Fact[[#All],[Opportunity ID]],MATCH(X186,Fact[[#All],[salestage.Sales Stage]],0)), "")</f>
        <v>2</v>
      </c>
    </row>
    <row r="188" spans="1:29" x14ac:dyDescent="0.3">
      <c r="A188" s="1">
        <v>42170.457638888889</v>
      </c>
      <c r="B188">
        <v>187</v>
      </c>
      <c r="C188">
        <v>1</v>
      </c>
      <c r="D188">
        <v>151</v>
      </c>
      <c r="E188">
        <v>22</v>
      </c>
      <c r="F188">
        <v>9</v>
      </c>
      <c r="G188">
        <v>3347026</v>
      </c>
      <c r="H188" s="5">
        <v>334703</v>
      </c>
      <c r="I188" s="1">
        <v>5</v>
      </c>
      <c r="J188">
        <v>495</v>
      </c>
      <c r="K188">
        <v>2015</v>
      </c>
      <c r="L188">
        <v>6</v>
      </c>
      <c r="M188" t="s">
        <v>70</v>
      </c>
      <c r="N188" t="s">
        <v>13</v>
      </c>
      <c r="O188" t="s">
        <v>616</v>
      </c>
      <c r="P188">
        <v>207</v>
      </c>
      <c r="Q188">
        <v>2</v>
      </c>
      <c r="R188" t="s">
        <v>143</v>
      </c>
      <c r="S188" t="s">
        <v>13</v>
      </c>
      <c r="T188" t="s">
        <v>178</v>
      </c>
      <c r="U188" t="s">
        <v>84</v>
      </c>
      <c r="V188" t="s">
        <v>85</v>
      </c>
      <c r="W188">
        <v>0.1</v>
      </c>
      <c r="X188" t="s">
        <v>195</v>
      </c>
      <c r="Y188" t="s">
        <v>302</v>
      </c>
      <c r="Z188" t="s">
        <v>3</v>
      </c>
      <c r="AA188" t="s">
        <v>6</v>
      </c>
      <c r="AB188">
        <f xml:space="preserve"> COUNTIF(Fact[[#This Row],[Partner.Partner Driven]], "Yes") / COUNTA(Fact[Opportunity ID])</f>
        <v>0</v>
      </c>
      <c r="AC188">
        <f>IFERROR(INDEX(Fact[[#All],[Opportunity ID]],MATCH(X188,Fact[[#All],[salestage.Sales Stage]],0))/INDEX(Fact[[#All],[Opportunity ID]],MATCH(X187,Fact[[#All],[salestage.Sales Stage]],0)), "")</f>
        <v>1</v>
      </c>
    </row>
    <row r="189" spans="1:29" x14ac:dyDescent="0.3">
      <c r="A189" s="1">
        <v>42155.457638888889</v>
      </c>
      <c r="B189">
        <v>188</v>
      </c>
      <c r="C189">
        <v>1</v>
      </c>
      <c r="D189">
        <v>152</v>
      </c>
      <c r="E189">
        <v>22</v>
      </c>
      <c r="F189">
        <v>19</v>
      </c>
      <c r="G189">
        <v>3320005</v>
      </c>
      <c r="H189" s="5">
        <v>332001</v>
      </c>
      <c r="I189" s="1">
        <v>22</v>
      </c>
      <c r="J189">
        <v>463</v>
      </c>
      <c r="K189">
        <v>2015</v>
      </c>
      <c r="L189">
        <v>5</v>
      </c>
      <c r="M189" t="s">
        <v>68</v>
      </c>
      <c r="N189" t="s">
        <v>13</v>
      </c>
      <c r="O189" t="s">
        <v>617</v>
      </c>
      <c r="P189">
        <v>205</v>
      </c>
      <c r="Q189">
        <v>2</v>
      </c>
      <c r="R189" t="s">
        <v>143</v>
      </c>
      <c r="S189" t="s">
        <v>13</v>
      </c>
      <c r="T189" t="s">
        <v>188</v>
      </c>
      <c r="U189" t="s">
        <v>84</v>
      </c>
      <c r="V189" t="s">
        <v>85</v>
      </c>
      <c r="W189">
        <v>0.1</v>
      </c>
      <c r="X189" t="s">
        <v>195</v>
      </c>
      <c r="Y189" t="s">
        <v>303</v>
      </c>
      <c r="Z189" t="s">
        <v>13</v>
      </c>
      <c r="AA189" t="s">
        <v>6</v>
      </c>
      <c r="AB189">
        <f xml:space="preserve"> COUNTIF(Fact[[#This Row],[Partner.Partner Driven]], "Yes") / COUNTA(Fact[Opportunity ID])</f>
        <v>0</v>
      </c>
      <c r="AC189">
        <f>IFERROR(INDEX(Fact[[#All],[Opportunity ID]],MATCH(X189,Fact[[#All],[salestage.Sales Stage]],0))/INDEX(Fact[[#All],[Opportunity ID]],MATCH(X188,Fact[[#All],[salestage.Sales Stage]],0)), "")</f>
        <v>1</v>
      </c>
    </row>
    <row r="190" spans="1:29" x14ac:dyDescent="0.3">
      <c r="A190" s="1">
        <v>42095.457638888889</v>
      </c>
      <c r="B190">
        <v>189</v>
      </c>
      <c r="C190">
        <v>2</v>
      </c>
      <c r="D190">
        <v>153</v>
      </c>
      <c r="E190">
        <v>22</v>
      </c>
      <c r="F190">
        <v>22</v>
      </c>
      <c r="G190">
        <v>2313781</v>
      </c>
      <c r="H190" s="5">
        <v>462756</v>
      </c>
      <c r="I190" s="1">
        <v>1</v>
      </c>
      <c r="J190">
        <v>424</v>
      </c>
      <c r="K190">
        <v>2015</v>
      </c>
      <c r="L190">
        <v>4</v>
      </c>
      <c r="M190" t="s">
        <v>510</v>
      </c>
      <c r="N190" t="s">
        <v>3</v>
      </c>
      <c r="O190" t="s">
        <v>618</v>
      </c>
      <c r="P190">
        <v>153</v>
      </c>
      <c r="Q190">
        <v>1</v>
      </c>
      <c r="R190" t="s">
        <v>138</v>
      </c>
      <c r="S190" t="s">
        <v>3</v>
      </c>
      <c r="T190" t="s">
        <v>191</v>
      </c>
      <c r="U190" t="s">
        <v>84</v>
      </c>
      <c r="V190" t="s">
        <v>85</v>
      </c>
      <c r="W190">
        <v>0.2</v>
      </c>
      <c r="X190" t="s">
        <v>196</v>
      </c>
      <c r="Y190" t="s">
        <v>304</v>
      </c>
      <c r="Z190" t="s">
        <v>3</v>
      </c>
      <c r="AA190" t="s">
        <v>6</v>
      </c>
      <c r="AB190">
        <f xml:space="preserve"> COUNTIF(Fact[[#This Row],[Partner.Partner Driven]], "Yes") / COUNTA(Fact[Opportunity ID])</f>
        <v>0</v>
      </c>
      <c r="AC190">
        <f>IFERROR(INDEX(Fact[[#All],[Opportunity ID]],MATCH(X190,Fact[[#All],[salestage.Sales Stage]],0))/INDEX(Fact[[#All],[Opportunity ID]],MATCH(X189,Fact[[#All],[salestage.Sales Stage]],0)), "")</f>
        <v>0.5</v>
      </c>
    </row>
    <row r="191" spans="1:29" x14ac:dyDescent="0.3">
      <c r="A191" s="1">
        <v>42094.457638888889</v>
      </c>
      <c r="B191">
        <v>190</v>
      </c>
      <c r="C191">
        <v>3</v>
      </c>
      <c r="D191">
        <v>154</v>
      </c>
      <c r="E191">
        <v>54</v>
      </c>
      <c r="F191">
        <v>16</v>
      </c>
      <c r="G191">
        <v>3659407</v>
      </c>
      <c r="H191" s="5">
        <v>1463763</v>
      </c>
      <c r="I191" s="1">
        <v>20</v>
      </c>
      <c r="J191">
        <v>376</v>
      </c>
      <c r="K191">
        <v>2015</v>
      </c>
      <c r="L191">
        <v>3</v>
      </c>
      <c r="M191" t="s">
        <v>512</v>
      </c>
      <c r="N191" t="s">
        <v>13</v>
      </c>
      <c r="O191" t="s">
        <v>620</v>
      </c>
      <c r="P191">
        <v>225</v>
      </c>
      <c r="Q191">
        <v>2</v>
      </c>
      <c r="R191" t="s">
        <v>143</v>
      </c>
      <c r="S191" t="s">
        <v>13</v>
      </c>
      <c r="T191" t="s">
        <v>185</v>
      </c>
      <c r="U191" t="s">
        <v>514</v>
      </c>
      <c r="V191" t="s">
        <v>72</v>
      </c>
      <c r="W191">
        <v>0.4</v>
      </c>
      <c r="X191" t="s">
        <v>197</v>
      </c>
      <c r="Y191" t="s">
        <v>305</v>
      </c>
      <c r="Z191" t="s">
        <v>13</v>
      </c>
      <c r="AA191" t="s">
        <v>6</v>
      </c>
      <c r="AB191">
        <f xml:space="preserve"> COUNTIF(Fact[[#This Row],[Partner.Partner Driven]], "Yes") / COUNTA(Fact[Opportunity ID])</f>
        <v>2.05761316872428E-3</v>
      </c>
      <c r="AC191">
        <f>IFERROR(INDEX(Fact[[#All],[Opportunity ID]],MATCH(X191,Fact[[#All],[salestage.Sales Stage]],0))/INDEX(Fact[[#All],[Opportunity ID]],MATCH(X190,Fact[[#All],[salestage.Sales Stage]],0)), "")</f>
        <v>9</v>
      </c>
    </row>
    <row r="192" spans="1:29" x14ac:dyDescent="0.3">
      <c r="A192" s="1">
        <v>42124.457638888889</v>
      </c>
      <c r="B192">
        <v>191</v>
      </c>
      <c r="C192">
        <v>2</v>
      </c>
      <c r="D192">
        <v>118</v>
      </c>
      <c r="E192">
        <v>22</v>
      </c>
      <c r="F192">
        <v>8</v>
      </c>
      <c r="G192">
        <v>4020340</v>
      </c>
      <c r="H192" s="5">
        <v>804068</v>
      </c>
      <c r="I192" s="1">
        <v>14</v>
      </c>
      <c r="J192">
        <v>440</v>
      </c>
      <c r="K192">
        <v>2015</v>
      </c>
      <c r="L192">
        <v>4</v>
      </c>
      <c r="M192" t="s">
        <v>510</v>
      </c>
      <c r="N192" t="s">
        <v>13</v>
      </c>
      <c r="O192" t="s">
        <v>621</v>
      </c>
      <c r="P192">
        <v>244</v>
      </c>
      <c r="Q192">
        <v>2</v>
      </c>
      <c r="R192" t="s">
        <v>143</v>
      </c>
      <c r="S192" t="s">
        <v>13</v>
      </c>
      <c r="T192" t="s">
        <v>177</v>
      </c>
      <c r="U192" t="s">
        <v>84</v>
      </c>
      <c r="V192" t="s">
        <v>85</v>
      </c>
      <c r="W192">
        <v>0.2</v>
      </c>
      <c r="X192" t="s">
        <v>196</v>
      </c>
      <c r="Y192" t="s">
        <v>269</v>
      </c>
      <c r="Z192" t="s">
        <v>13</v>
      </c>
      <c r="AA192" t="s">
        <v>6</v>
      </c>
      <c r="AB192">
        <f xml:space="preserve"> COUNTIF(Fact[[#This Row],[Partner.Partner Driven]], "Yes") / COUNTA(Fact[Opportunity ID])</f>
        <v>0</v>
      </c>
      <c r="AC192">
        <f>IFERROR(INDEX(Fact[[#All],[Opportunity ID]],MATCH(X192,Fact[[#All],[salestage.Sales Stage]],0))/INDEX(Fact[[#All],[Opportunity ID]],MATCH(X191,Fact[[#All],[salestage.Sales Stage]],0)), "")</f>
        <v>0.1111111111111111</v>
      </c>
    </row>
    <row r="193" spans="1:29" x14ac:dyDescent="0.3">
      <c r="A193" s="1">
        <v>42160.457638888889</v>
      </c>
      <c r="B193">
        <v>192</v>
      </c>
      <c r="C193">
        <v>1</v>
      </c>
      <c r="D193">
        <v>155</v>
      </c>
      <c r="E193">
        <v>22</v>
      </c>
      <c r="F193">
        <v>18</v>
      </c>
      <c r="G193">
        <v>4053946</v>
      </c>
      <c r="H193" s="5">
        <v>405395</v>
      </c>
      <c r="I193" s="1">
        <v>4</v>
      </c>
      <c r="J193">
        <v>397</v>
      </c>
      <c r="K193">
        <v>2015</v>
      </c>
      <c r="L193">
        <v>6</v>
      </c>
      <c r="M193" t="s">
        <v>70</v>
      </c>
      <c r="N193" t="s">
        <v>13</v>
      </c>
      <c r="O193" t="s">
        <v>622</v>
      </c>
      <c r="P193">
        <v>247</v>
      </c>
      <c r="Q193">
        <v>2</v>
      </c>
      <c r="R193" t="s">
        <v>143</v>
      </c>
      <c r="S193" t="s">
        <v>13</v>
      </c>
      <c r="T193" t="s">
        <v>187</v>
      </c>
      <c r="U193" t="s">
        <v>84</v>
      </c>
      <c r="V193" t="s">
        <v>85</v>
      </c>
      <c r="W193">
        <v>0.1</v>
      </c>
      <c r="X193" t="s">
        <v>195</v>
      </c>
      <c r="Y193" t="s">
        <v>306</v>
      </c>
      <c r="Z193" t="s">
        <v>3</v>
      </c>
      <c r="AA193" t="s">
        <v>6</v>
      </c>
      <c r="AB193">
        <f xml:space="preserve"> COUNTIF(Fact[[#This Row],[Partner.Partner Driven]], "Yes") / COUNTA(Fact[Opportunity ID])</f>
        <v>0</v>
      </c>
      <c r="AC193">
        <f>IFERROR(INDEX(Fact[[#All],[Opportunity ID]],MATCH(X193,Fact[[#All],[salestage.Sales Stage]],0))/INDEX(Fact[[#All],[Opportunity ID]],MATCH(X192,Fact[[#All],[salestage.Sales Stage]],0)), "")</f>
        <v>2</v>
      </c>
    </row>
    <row r="194" spans="1:29" x14ac:dyDescent="0.3">
      <c r="A194" s="1">
        <v>42093.457638888889</v>
      </c>
      <c r="B194">
        <v>193</v>
      </c>
      <c r="C194">
        <v>1</v>
      </c>
      <c r="D194">
        <v>156</v>
      </c>
      <c r="E194">
        <v>22</v>
      </c>
      <c r="F194">
        <v>8</v>
      </c>
      <c r="G194">
        <v>94387</v>
      </c>
      <c r="H194" s="5">
        <v>9439</v>
      </c>
      <c r="I194" s="1">
        <v>6</v>
      </c>
      <c r="J194">
        <v>448</v>
      </c>
      <c r="K194">
        <v>2015</v>
      </c>
      <c r="L194">
        <v>3</v>
      </c>
      <c r="M194" t="s">
        <v>512</v>
      </c>
      <c r="N194" t="s">
        <v>13</v>
      </c>
      <c r="O194" t="s">
        <v>623</v>
      </c>
      <c r="P194">
        <v>11</v>
      </c>
      <c r="Q194">
        <v>1</v>
      </c>
      <c r="R194" t="s">
        <v>138</v>
      </c>
      <c r="S194" t="s">
        <v>13</v>
      </c>
      <c r="T194" t="s">
        <v>177</v>
      </c>
      <c r="U194" t="s">
        <v>84</v>
      </c>
      <c r="V194" t="s">
        <v>85</v>
      </c>
      <c r="W194">
        <v>0.1</v>
      </c>
      <c r="X194" t="s">
        <v>195</v>
      </c>
      <c r="Y194" t="s">
        <v>307</v>
      </c>
      <c r="Z194" t="s">
        <v>13</v>
      </c>
      <c r="AA194" t="s">
        <v>9</v>
      </c>
      <c r="AB194">
        <f xml:space="preserve"> COUNTIF(Fact[[#This Row],[Partner.Partner Driven]], "Yes") / COUNTA(Fact[Opportunity ID])</f>
        <v>0</v>
      </c>
      <c r="AC194">
        <f>IFERROR(INDEX(Fact[[#All],[Opportunity ID]],MATCH(X194,Fact[[#All],[salestage.Sales Stage]],0))/INDEX(Fact[[#All],[Opportunity ID]],MATCH(X193,Fact[[#All],[salestage.Sales Stage]],0)), "")</f>
        <v>1</v>
      </c>
    </row>
    <row r="195" spans="1:29" x14ac:dyDescent="0.3">
      <c r="A195" s="1">
        <v>42094.457638888889</v>
      </c>
      <c r="B195">
        <v>194</v>
      </c>
      <c r="C195">
        <v>2</v>
      </c>
      <c r="D195">
        <v>157</v>
      </c>
      <c r="E195">
        <v>22</v>
      </c>
      <c r="F195">
        <v>10</v>
      </c>
      <c r="G195">
        <v>1082733</v>
      </c>
      <c r="H195" s="5">
        <v>216547</v>
      </c>
      <c r="I195" s="1">
        <v>27</v>
      </c>
      <c r="J195">
        <v>428</v>
      </c>
      <c r="K195">
        <v>2015</v>
      </c>
      <c r="L195">
        <v>3</v>
      </c>
      <c r="M195" t="s">
        <v>512</v>
      </c>
      <c r="N195" t="s">
        <v>13</v>
      </c>
      <c r="O195" t="s">
        <v>624</v>
      </c>
      <c r="P195">
        <v>75</v>
      </c>
      <c r="Q195">
        <v>1</v>
      </c>
      <c r="R195" t="s">
        <v>138</v>
      </c>
      <c r="S195" t="s">
        <v>13</v>
      </c>
      <c r="T195" t="s">
        <v>179</v>
      </c>
      <c r="U195" t="s">
        <v>84</v>
      </c>
      <c r="V195" t="s">
        <v>85</v>
      </c>
      <c r="W195">
        <v>0.2</v>
      </c>
      <c r="X195" t="s">
        <v>196</v>
      </c>
      <c r="Y195" t="s">
        <v>308</v>
      </c>
      <c r="Z195" t="s">
        <v>13</v>
      </c>
      <c r="AA195" t="s">
        <v>4</v>
      </c>
      <c r="AB195">
        <f xml:space="preserve"> COUNTIF(Fact[[#This Row],[Partner.Partner Driven]], "Yes") / COUNTA(Fact[Opportunity ID])</f>
        <v>0</v>
      </c>
      <c r="AC195">
        <f>IFERROR(INDEX(Fact[[#All],[Opportunity ID]],MATCH(X195,Fact[[#All],[salestage.Sales Stage]],0))/INDEX(Fact[[#All],[Opportunity ID]],MATCH(X194,Fact[[#All],[salestage.Sales Stage]],0)), "")</f>
        <v>0.5</v>
      </c>
    </row>
    <row r="196" spans="1:29" x14ac:dyDescent="0.3">
      <c r="A196" s="1">
        <v>42124.457638888889</v>
      </c>
      <c r="B196">
        <v>195</v>
      </c>
      <c r="C196">
        <v>3</v>
      </c>
      <c r="D196">
        <v>158</v>
      </c>
      <c r="E196">
        <v>22</v>
      </c>
      <c r="F196">
        <v>23</v>
      </c>
      <c r="G196">
        <v>1374975</v>
      </c>
      <c r="H196" s="5">
        <v>549990</v>
      </c>
      <c r="I196" s="1">
        <v>14</v>
      </c>
      <c r="J196">
        <v>381</v>
      </c>
      <c r="K196">
        <v>2015</v>
      </c>
      <c r="L196">
        <v>4</v>
      </c>
      <c r="M196" t="s">
        <v>510</v>
      </c>
      <c r="N196" t="s">
        <v>13</v>
      </c>
      <c r="O196" t="s">
        <v>625</v>
      </c>
      <c r="P196">
        <v>91</v>
      </c>
      <c r="Q196">
        <v>1</v>
      </c>
      <c r="R196" t="s">
        <v>138</v>
      </c>
      <c r="S196" t="s">
        <v>13</v>
      </c>
      <c r="T196" t="s">
        <v>192</v>
      </c>
      <c r="U196" t="s">
        <v>84</v>
      </c>
      <c r="V196" t="s">
        <v>85</v>
      </c>
      <c r="W196">
        <v>0.4</v>
      </c>
      <c r="X196" t="s">
        <v>197</v>
      </c>
      <c r="Y196" t="s">
        <v>309</v>
      </c>
      <c r="Z196" t="s">
        <v>3</v>
      </c>
      <c r="AA196" t="s">
        <v>4</v>
      </c>
      <c r="AB196">
        <f xml:space="preserve"> COUNTIF(Fact[[#This Row],[Partner.Partner Driven]], "Yes") / COUNTA(Fact[Opportunity ID])</f>
        <v>0</v>
      </c>
      <c r="AC196">
        <f>IFERROR(INDEX(Fact[[#All],[Opportunity ID]],MATCH(X196,Fact[[#All],[salestage.Sales Stage]],0))/INDEX(Fact[[#All],[Opportunity ID]],MATCH(X195,Fact[[#All],[salestage.Sales Stage]],0)), "")</f>
        <v>9</v>
      </c>
    </row>
    <row r="197" spans="1:29" x14ac:dyDescent="0.3">
      <c r="A197" s="1">
        <v>42153.457638888889</v>
      </c>
      <c r="B197">
        <v>196</v>
      </c>
      <c r="C197">
        <v>1</v>
      </c>
      <c r="D197">
        <v>93</v>
      </c>
      <c r="E197">
        <v>3</v>
      </c>
      <c r="F197">
        <v>6</v>
      </c>
      <c r="G197">
        <v>8891729</v>
      </c>
      <c r="H197" s="5">
        <v>889173</v>
      </c>
      <c r="I197" s="1">
        <v>2</v>
      </c>
      <c r="J197">
        <v>512</v>
      </c>
      <c r="K197">
        <v>2015</v>
      </c>
      <c r="L197">
        <v>5</v>
      </c>
      <c r="M197" t="s">
        <v>68</v>
      </c>
      <c r="N197" t="s">
        <v>3</v>
      </c>
      <c r="O197" t="s">
        <v>626</v>
      </c>
      <c r="P197">
        <v>438</v>
      </c>
      <c r="Q197">
        <v>3</v>
      </c>
      <c r="R197" t="s">
        <v>9</v>
      </c>
      <c r="S197" t="s">
        <v>3</v>
      </c>
      <c r="T197" t="s">
        <v>175</v>
      </c>
      <c r="U197" t="s">
        <v>115</v>
      </c>
      <c r="V197" t="s">
        <v>72</v>
      </c>
      <c r="W197">
        <v>0.1</v>
      </c>
      <c r="X197" t="s">
        <v>195</v>
      </c>
      <c r="Y197" t="s">
        <v>244</v>
      </c>
      <c r="Z197" t="s">
        <v>3</v>
      </c>
      <c r="AA197" t="s">
        <v>4</v>
      </c>
      <c r="AB197">
        <f xml:space="preserve"> COUNTIF(Fact[[#This Row],[Partner.Partner Driven]], "Yes") / COUNTA(Fact[Opportunity ID])</f>
        <v>2.05761316872428E-3</v>
      </c>
      <c r="AC197">
        <f>IFERROR(INDEX(Fact[[#All],[Opportunity ID]],MATCH(X197,Fact[[#All],[salestage.Sales Stage]],0))/INDEX(Fact[[#All],[Opportunity ID]],MATCH(X196,Fact[[#All],[salestage.Sales Stage]],0)), "")</f>
        <v>0.22222222222222221</v>
      </c>
    </row>
    <row r="198" spans="1:29" x14ac:dyDescent="0.3">
      <c r="A198" s="1">
        <v>42018.457638888889</v>
      </c>
      <c r="B198">
        <v>197</v>
      </c>
      <c r="C198">
        <v>4</v>
      </c>
      <c r="D198">
        <v>36</v>
      </c>
      <c r="E198">
        <v>22</v>
      </c>
      <c r="F198">
        <v>25</v>
      </c>
      <c r="G198">
        <v>1315598</v>
      </c>
      <c r="H198" s="5">
        <v>789359</v>
      </c>
      <c r="I198" s="1">
        <v>4</v>
      </c>
      <c r="J198">
        <v>375</v>
      </c>
      <c r="K198">
        <v>2015</v>
      </c>
      <c r="L198">
        <v>1</v>
      </c>
      <c r="M198" t="s">
        <v>511</v>
      </c>
      <c r="N198" t="s">
        <v>3</v>
      </c>
      <c r="O198" t="s">
        <v>627</v>
      </c>
      <c r="P198">
        <v>89</v>
      </c>
      <c r="Q198">
        <v>1</v>
      </c>
      <c r="R198" t="s">
        <v>138</v>
      </c>
      <c r="S198" t="s">
        <v>3</v>
      </c>
      <c r="T198" t="s">
        <v>194</v>
      </c>
      <c r="U198" t="s">
        <v>84</v>
      </c>
      <c r="V198" t="s">
        <v>85</v>
      </c>
      <c r="W198">
        <v>0.6</v>
      </c>
      <c r="X198" t="s">
        <v>198</v>
      </c>
      <c r="Y198" t="s">
        <v>43</v>
      </c>
      <c r="Z198" t="s">
        <v>3</v>
      </c>
      <c r="AA198" t="s">
        <v>4</v>
      </c>
      <c r="AB198">
        <f xml:space="preserve"> COUNTIF(Fact[[#This Row],[Partner.Partner Driven]], "Yes") / COUNTA(Fact[Opportunity ID])</f>
        <v>0</v>
      </c>
      <c r="AC198">
        <f>IFERROR(INDEX(Fact[[#All],[Opportunity ID]],MATCH(X198,Fact[[#All],[salestage.Sales Stage]],0))/INDEX(Fact[[#All],[Opportunity ID]],MATCH(X197,Fact[[#All],[salestage.Sales Stage]],0)), "")</f>
        <v>14</v>
      </c>
    </row>
    <row r="199" spans="1:29" x14ac:dyDescent="0.3">
      <c r="A199" s="1">
        <v>42094.457638888889</v>
      </c>
      <c r="B199">
        <v>198</v>
      </c>
      <c r="C199">
        <v>3</v>
      </c>
      <c r="D199">
        <v>121</v>
      </c>
      <c r="E199">
        <v>22</v>
      </c>
      <c r="F199">
        <v>19</v>
      </c>
      <c r="G199">
        <v>6733360</v>
      </c>
      <c r="H199" s="5">
        <v>2693344</v>
      </c>
      <c r="I199" s="1">
        <v>10</v>
      </c>
      <c r="J199">
        <v>445</v>
      </c>
      <c r="K199">
        <v>2015</v>
      </c>
      <c r="L199">
        <v>3</v>
      </c>
      <c r="M199" t="s">
        <v>512</v>
      </c>
      <c r="N199" t="s">
        <v>3</v>
      </c>
      <c r="O199" t="s">
        <v>628</v>
      </c>
      <c r="P199">
        <v>376</v>
      </c>
      <c r="Q199">
        <v>3</v>
      </c>
      <c r="R199" t="s">
        <v>9</v>
      </c>
      <c r="S199" t="s">
        <v>3</v>
      </c>
      <c r="T199" t="s">
        <v>188</v>
      </c>
      <c r="U199" t="s">
        <v>84</v>
      </c>
      <c r="V199" t="s">
        <v>85</v>
      </c>
      <c r="W199">
        <v>0.4</v>
      </c>
      <c r="X199" t="s">
        <v>197</v>
      </c>
      <c r="Y199" t="s">
        <v>272</v>
      </c>
      <c r="Z199" t="s">
        <v>13</v>
      </c>
      <c r="AA199" t="s">
        <v>6</v>
      </c>
      <c r="AB199">
        <f xml:space="preserve"> COUNTIF(Fact[[#This Row],[Partner.Partner Driven]], "Yes") / COUNTA(Fact[Opportunity ID])</f>
        <v>0</v>
      </c>
      <c r="AC199">
        <f>IFERROR(INDEX(Fact[[#All],[Opportunity ID]],MATCH(X199,Fact[[#All],[salestage.Sales Stage]],0))/INDEX(Fact[[#All],[Opportunity ID]],MATCH(X198,Fact[[#All],[salestage.Sales Stage]],0)), "")</f>
        <v>0.32142857142857145</v>
      </c>
    </row>
    <row r="200" spans="1:29" x14ac:dyDescent="0.3">
      <c r="A200" s="1">
        <v>42005.457638888889</v>
      </c>
      <c r="B200">
        <v>199</v>
      </c>
      <c r="C200">
        <v>5</v>
      </c>
      <c r="D200">
        <v>159</v>
      </c>
      <c r="E200">
        <v>22</v>
      </c>
      <c r="F200">
        <v>24</v>
      </c>
      <c r="G200">
        <v>4380142</v>
      </c>
      <c r="H200" s="5">
        <v>3504114</v>
      </c>
      <c r="I200" s="1">
        <v>1</v>
      </c>
      <c r="J200">
        <v>365</v>
      </c>
      <c r="K200">
        <v>2015</v>
      </c>
      <c r="L200">
        <v>1</v>
      </c>
      <c r="M200" t="s">
        <v>511</v>
      </c>
      <c r="N200" t="s">
        <v>13</v>
      </c>
      <c r="O200" t="s">
        <v>629</v>
      </c>
      <c r="P200">
        <v>265</v>
      </c>
      <c r="Q200">
        <v>2</v>
      </c>
      <c r="R200" t="s">
        <v>143</v>
      </c>
      <c r="S200" t="s">
        <v>13</v>
      </c>
      <c r="T200" t="s">
        <v>193</v>
      </c>
      <c r="U200" t="s">
        <v>84</v>
      </c>
      <c r="V200" t="s">
        <v>85</v>
      </c>
      <c r="W200">
        <v>0.8</v>
      </c>
      <c r="X200" t="s">
        <v>199</v>
      </c>
      <c r="Y200" t="s">
        <v>310</v>
      </c>
      <c r="Z200" t="s">
        <v>8</v>
      </c>
      <c r="AA200" t="s">
        <v>9</v>
      </c>
      <c r="AB200">
        <f xml:space="preserve"> COUNTIF(Fact[[#This Row],[Partner.Partner Driven]], "Yes") / COUNTA(Fact[Opportunity ID])</f>
        <v>0</v>
      </c>
      <c r="AC200">
        <f>IFERROR(INDEX(Fact[[#All],[Opportunity ID]],MATCH(X200,Fact[[#All],[salestage.Sales Stage]],0))/INDEX(Fact[[#All],[Opportunity ID]],MATCH(X199,Fact[[#All],[salestage.Sales Stage]],0)), "")</f>
        <v>6</v>
      </c>
    </row>
    <row r="201" spans="1:29" x14ac:dyDescent="0.3">
      <c r="A201" s="1">
        <v>42155.457638888889</v>
      </c>
      <c r="B201">
        <v>200</v>
      </c>
      <c r="C201">
        <v>1</v>
      </c>
      <c r="D201">
        <v>100</v>
      </c>
      <c r="E201">
        <v>55</v>
      </c>
      <c r="F201">
        <v>5</v>
      </c>
      <c r="G201">
        <v>8478832</v>
      </c>
      <c r="H201" s="5">
        <v>847883</v>
      </c>
      <c r="I201" s="1">
        <v>28</v>
      </c>
      <c r="J201">
        <v>368</v>
      </c>
      <c r="K201">
        <v>2015</v>
      </c>
      <c r="L201">
        <v>5</v>
      </c>
      <c r="M201" t="s">
        <v>68</v>
      </c>
      <c r="N201" t="s">
        <v>3</v>
      </c>
      <c r="O201" t="s">
        <v>632</v>
      </c>
      <c r="P201">
        <v>428</v>
      </c>
      <c r="Q201">
        <v>3</v>
      </c>
      <c r="R201" t="s">
        <v>9</v>
      </c>
      <c r="S201" t="s">
        <v>3</v>
      </c>
      <c r="T201" t="s">
        <v>174</v>
      </c>
      <c r="U201" t="s">
        <v>134</v>
      </c>
      <c r="V201" t="s">
        <v>72</v>
      </c>
      <c r="W201">
        <v>0.1</v>
      </c>
      <c r="X201" t="s">
        <v>195</v>
      </c>
      <c r="Y201" t="s">
        <v>251</v>
      </c>
      <c r="Z201" t="s">
        <v>3</v>
      </c>
      <c r="AA201" t="s">
        <v>4</v>
      </c>
      <c r="AB201">
        <f xml:space="preserve"> COUNTIF(Fact[[#This Row],[Partner.Partner Driven]], "Yes") / COUNTA(Fact[Opportunity ID])</f>
        <v>2.05761316872428E-3</v>
      </c>
      <c r="AC201">
        <f>IFERROR(INDEX(Fact[[#All],[Opportunity ID]],MATCH(X201,Fact[[#All],[salestage.Sales Stage]],0))/INDEX(Fact[[#All],[Opportunity ID]],MATCH(X200,Fact[[#All],[salestage.Sales Stage]],0)), "")</f>
        <v>3.7037037037037035E-2</v>
      </c>
    </row>
    <row r="202" spans="1:29" x14ac:dyDescent="0.3">
      <c r="A202" s="1">
        <v>42308.457638888889</v>
      </c>
      <c r="B202">
        <v>201</v>
      </c>
      <c r="C202">
        <v>2</v>
      </c>
      <c r="D202">
        <v>160</v>
      </c>
      <c r="E202">
        <v>22</v>
      </c>
      <c r="F202">
        <v>12</v>
      </c>
      <c r="G202">
        <v>5590473</v>
      </c>
      <c r="H202" s="5">
        <v>1118095</v>
      </c>
      <c r="I202" s="1">
        <v>15</v>
      </c>
      <c r="J202">
        <v>503</v>
      </c>
      <c r="K202">
        <v>2015</v>
      </c>
      <c r="L202">
        <v>10</v>
      </c>
      <c r="M202" t="s">
        <v>505</v>
      </c>
      <c r="N202" t="s">
        <v>3</v>
      </c>
      <c r="O202" t="s">
        <v>633</v>
      </c>
      <c r="P202">
        <v>321</v>
      </c>
      <c r="Q202">
        <v>2</v>
      </c>
      <c r="R202" t="s">
        <v>143</v>
      </c>
      <c r="S202" t="s">
        <v>3</v>
      </c>
      <c r="T202" t="s">
        <v>181</v>
      </c>
      <c r="U202" t="s">
        <v>84</v>
      </c>
      <c r="V202" t="s">
        <v>85</v>
      </c>
      <c r="W202">
        <v>0.2</v>
      </c>
      <c r="X202" t="s">
        <v>196</v>
      </c>
      <c r="Y202" t="s">
        <v>311</v>
      </c>
      <c r="Z202" t="s">
        <v>3</v>
      </c>
      <c r="AA202" t="s">
        <v>6</v>
      </c>
      <c r="AB202">
        <f xml:space="preserve"> COUNTIF(Fact[[#This Row],[Partner.Partner Driven]], "Yes") / COUNTA(Fact[Opportunity ID])</f>
        <v>0</v>
      </c>
      <c r="AC202">
        <f>IFERROR(INDEX(Fact[[#All],[Opportunity ID]],MATCH(X202,Fact[[#All],[salestage.Sales Stage]],0))/INDEX(Fact[[#All],[Opportunity ID]],MATCH(X201,Fact[[#All],[salestage.Sales Stage]],0)), "")</f>
        <v>0.5</v>
      </c>
    </row>
    <row r="203" spans="1:29" x14ac:dyDescent="0.3">
      <c r="A203" s="1">
        <v>42034.457638888889</v>
      </c>
      <c r="B203">
        <v>202</v>
      </c>
      <c r="C203">
        <v>4</v>
      </c>
      <c r="D203">
        <v>33</v>
      </c>
      <c r="E203">
        <v>22</v>
      </c>
      <c r="F203">
        <v>1</v>
      </c>
      <c r="G203">
        <v>3650025</v>
      </c>
      <c r="H203" s="5">
        <v>2190015</v>
      </c>
      <c r="I203" s="1">
        <v>3</v>
      </c>
      <c r="J203">
        <v>392</v>
      </c>
      <c r="K203">
        <v>2015</v>
      </c>
      <c r="L203">
        <v>1</v>
      </c>
      <c r="M203" t="s">
        <v>511</v>
      </c>
      <c r="N203" t="s">
        <v>13</v>
      </c>
      <c r="O203" t="s">
        <v>634</v>
      </c>
      <c r="P203">
        <v>224</v>
      </c>
      <c r="Q203">
        <v>2</v>
      </c>
      <c r="R203" t="s">
        <v>143</v>
      </c>
      <c r="S203" t="s">
        <v>13</v>
      </c>
      <c r="T203" t="s">
        <v>170</v>
      </c>
      <c r="U203" t="s">
        <v>84</v>
      </c>
      <c r="V203" t="s">
        <v>85</v>
      </c>
      <c r="W203">
        <v>0.6</v>
      </c>
      <c r="X203" t="s">
        <v>198</v>
      </c>
      <c r="Y203" t="s">
        <v>40</v>
      </c>
      <c r="Z203" t="s">
        <v>13</v>
      </c>
      <c r="AA203" t="s">
        <v>4</v>
      </c>
      <c r="AB203">
        <f xml:space="preserve"> COUNTIF(Fact[[#This Row],[Partner.Partner Driven]], "Yes") / COUNTA(Fact[Opportunity ID])</f>
        <v>0</v>
      </c>
      <c r="AC203">
        <f>IFERROR(INDEX(Fact[[#All],[Opportunity ID]],MATCH(X203,Fact[[#All],[salestage.Sales Stage]],0))/INDEX(Fact[[#All],[Opportunity ID]],MATCH(X202,Fact[[#All],[salestage.Sales Stage]],0)), "")</f>
        <v>28</v>
      </c>
    </row>
    <row r="204" spans="1:29" x14ac:dyDescent="0.3">
      <c r="A204" s="1">
        <v>42072.457638888889</v>
      </c>
      <c r="B204">
        <v>203</v>
      </c>
      <c r="C204">
        <v>3</v>
      </c>
      <c r="D204">
        <v>161</v>
      </c>
      <c r="E204">
        <v>22</v>
      </c>
      <c r="F204">
        <v>12</v>
      </c>
      <c r="G204">
        <v>3844250</v>
      </c>
      <c r="H204" s="5">
        <v>1537700</v>
      </c>
      <c r="I204" s="1">
        <v>7</v>
      </c>
      <c r="J204">
        <v>367</v>
      </c>
      <c r="K204">
        <v>2015</v>
      </c>
      <c r="L204">
        <v>3</v>
      </c>
      <c r="M204" t="s">
        <v>512</v>
      </c>
      <c r="N204" t="s">
        <v>8</v>
      </c>
      <c r="O204" t="s">
        <v>635</v>
      </c>
      <c r="P204">
        <v>235</v>
      </c>
      <c r="Q204">
        <v>2</v>
      </c>
      <c r="R204" t="s">
        <v>143</v>
      </c>
      <c r="S204" t="s">
        <v>8</v>
      </c>
      <c r="T204" t="s">
        <v>181</v>
      </c>
      <c r="U204" t="s">
        <v>84</v>
      </c>
      <c r="V204" t="s">
        <v>85</v>
      </c>
      <c r="W204">
        <v>0.4</v>
      </c>
      <c r="X204" t="s">
        <v>197</v>
      </c>
      <c r="Y204" t="s">
        <v>312</v>
      </c>
      <c r="Z204" t="s">
        <v>8</v>
      </c>
      <c r="AA204" t="s">
        <v>9</v>
      </c>
      <c r="AB204">
        <f xml:space="preserve"> COUNTIF(Fact[[#This Row],[Partner.Partner Driven]], "Yes") / COUNTA(Fact[Opportunity ID])</f>
        <v>0</v>
      </c>
      <c r="AC204">
        <f>IFERROR(INDEX(Fact[[#All],[Opportunity ID]],MATCH(X204,Fact[[#All],[salestage.Sales Stage]],0))/INDEX(Fact[[#All],[Opportunity ID]],MATCH(X203,Fact[[#All],[salestage.Sales Stage]],0)), "")</f>
        <v>0.32142857142857145</v>
      </c>
    </row>
    <row r="205" spans="1:29" x14ac:dyDescent="0.3">
      <c r="A205" s="1">
        <v>42094.457638888889</v>
      </c>
      <c r="B205">
        <v>204</v>
      </c>
      <c r="C205">
        <v>2</v>
      </c>
      <c r="D205">
        <v>14</v>
      </c>
      <c r="E205">
        <v>8</v>
      </c>
      <c r="F205">
        <v>23</v>
      </c>
      <c r="G205">
        <v>8244139</v>
      </c>
      <c r="H205" s="5">
        <v>1648828</v>
      </c>
      <c r="I205" s="1">
        <v>6</v>
      </c>
      <c r="J205">
        <v>449</v>
      </c>
      <c r="K205">
        <v>2015</v>
      </c>
      <c r="L205">
        <v>3</v>
      </c>
      <c r="M205" t="s">
        <v>512</v>
      </c>
      <c r="N205" t="s">
        <v>13</v>
      </c>
      <c r="O205" t="s">
        <v>636</v>
      </c>
      <c r="P205">
        <v>420</v>
      </c>
      <c r="Q205">
        <v>3</v>
      </c>
      <c r="R205" t="s">
        <v>9</v>
      </c>
      <c r="S205" t="s">
        <v>13</v>
      </c>
      <c r="T205" t="s">
        <v>192</v>
      </c>
      <c r="U205" t="s">
        <v>526</v>
      </c>
      <c r="V205" t="s">
        <v>72</v>
      </c>
      <c r="W205">
        <v>0.2</v>
      </c>
      <c r="X205" t="s">
        <v>196</v>
      </c>
      <c r="Y205" t="s">
        <v>21</v>
      </c>
      <c r="Z205" t="s">
        <v>13</v>
      </c>
      <c r="AA205" t="s">
        <v>4</v>
      </c>
      <c r="AB205">
        <f xml:space="preserve"> COUNTIF(Fact[[#This Row],[Partner.Partner Driven]], "Yes") / COUNTA(Fact[Opportunity ID])</f>
        <v>2.05761316872428E-3</v>
      </c>
      <c r="AC205">
        <f>IFERROR(INDEX(Fact[[#All],[Opportunity ID]],MATCH(X205,Fact[[#All],[salestage.Sales Stage]],0))/INDEX(Fact[[#All],[Opportunity ID]],MATCH(X204,Fact[[#All],[salestage.Sales Stage]],0)), "")</f>
        <v>0.1111111111111111</v>
      </c>
    </row>
    <row r="206" spans="1:29" x14ac:dyDescent="0.3">
      <c r="A206" s="1">
        <v>42124.457638888889</v>
      </c>
      <c r="B206">
        <v>205</v>
      </c>
      <c r="C206">
        <v>3</v>
      </c>
      <c r="D206">
        <v>162</v>
      </c>
      <c r="E206">
        <v>38</v>
      </c>
      <c r="F206">
        <v>11</v>
      </c>
      <c r="G206">
        <v>3773037</v>
      </c>
      <c r="H206" s="5">
        <v>1509215</v>
      </c>
      <c r="I206" s="1">
        <v>27</v>
      </c>
      <c r="J206">
        <v>399</v>
      </c>
      <c r="K206">
        <v>2015</v>
      </c>
      <c r="L206">
        <v>4</v>
      </c>
      <c r="M206" t="s">
        <v>510</v>
      </c>
      <c r="N206" t="s">
        <v>8</v>
      </c>
      <c r="O206" t="s">
        <v>637</v>
      </c>
      <c r="P206">
        <v>233</v>
      </c>
      <c r="Q206">
        <v>2</v>
      </c>
      <c r="R206" t="s">
        <v>143</v>
      </c>
      <c r="S206" t="s">
        <v>8</v>
      </c>
      <c r="T206" t="s">
        <v>180</v>
      </c>
      <c r="U206" t="s">
        <v>531</v>
      </c>
      <c r="V206" t="s">
        <v>72</v>
      </c>
      <c r="W206">
        <v>0.4</v>
      </c>
      <c r="X206" t="s">
        <v>197</v>
      </c>
      <c r="Y206" t="s">
        <v>313</v>
      </c>
      <c r="Z206" t="s">
        <v>3</v>
      </c>
      <c r="AA206" t="s">
        <v>6</v>
      </c>
      <c r="AB206">
        <f xml:space="preserve"> COUNTIF(Fact[[#This Row],[Partner.Partner Driven]], "Yes") / COUNTA(Fact[Opportunity ID])</f>
        <v>2.05761316872428E-3</v>
      </c>
      <c r="AC206">
        <f>IFERROR(INDEX(Fact[[#All],[Opportunity ID]],MATCH(X206,Fact[[#All],[salestage.Sales Stage]],0))/INDEX(Fact[[#All],[Opportunity ID]],MATCH(X205,Fact[[#All],[salestage.Sales Stage]],0)), "")</f>
        <v>9</v>
      </c>
    </row>
    <row r="207" spans="1:29" x14ac:dyDescent="0.3">
      <c r="A207" s="1">
        <v>42369.457638888889</v>
      </c>
      <c r="B207">
        <v>206</v>
      </c>
      <c r="C207">
        <v>1</v>
      </c>
      <c r="D207">
        <v>103</v>
      </c>
      <c r="E207">
        <v>22</v>
      </c>
      <c r="F207">
        <v>17</v>
      </c>
      <c r="G207">
        <v>61254</v>
      </c>
      <c r="H207" s="5">
        <v>6125</v>
      </c>
      <c r="I207" s="1">
        <v>14</v>
      </c>
      <c r="J207">
        <v>382</v>
      </c>
      <c r="K207">
        <v>2015</v>
      </c>
      <c r="L207">
        <v>12</v>
      </c>
      <c r="M207" t="s">
        <v>508</v>
      </c>
      <c r="N207" t="s">
        <v>3</v>
      </c>
      <c r="O207" t="s">
        <v>638</v>
      </c>
      <c r="P207">
        <v>5</v>
      </c>
      <c r="Q207">
        <v>1</v>
      </c>
      <c r="R207" t="s">
        <v>138</v>
      </c>
      <c r="S207" t="s">
        <v>3</v>
      </c>
      <c r="T207" t="s">
        <v>186</v>
      </c>
      <c r="U207" t="s">
        <v>84</v>
      </c>
      <c r="V207" t="s">
        <v>85</v>
      </c>
      <c r="W207">
        <v>0.1</v>
      </c>
      <c r="X207" t="s">
        <v>195</v>
      </c>
      <c r="Y207" t="s">
        <v>254</v>
      </c>
      <c r="Z207" t="s">
        <v>8</v>
      </c>
      <c r="AA207" t="s">
        <v>4</v>
      </c>
      <c r="AB207">
        <f xml:space="preserve"> COUNTIF(Fact[[#This Row],[Partner.Partner Driven]], "Yes") / COUNTA(Fact[Opportunity ID])</f>
        <v>0</v>
      </c>
      <c r="AC207">
        <f>IFERROR(INDEX(Fact[[#All],[Opportunity ID]],MATCH(X207,Fact[[#All],[salestage.Sales Stage]],0))/INDEX(Fact[[#All],[Opportunity ID]],MATCH(X206,Fact[[#All],[salestage.Sales Stage]],0)), "")</f>
        <v>0.22222222222222221</v>
      </c>
    </row>
    <row r="208" spans="1:29" x14ac:dyDescent="0.3">
      <c r="A208" s="1">
        <v>42107.457638888889</v>
      </c>
      <c r="B208">
        <v>207</v>
      </c>
      <c r="C208">
        <v>3</v>
      </c>
      <c r="D208">
        <v>163</v>
      </c>
      <c r="E208">
        <v>22</v>
      </c>
      <c r="F208">
        <v>15</v>
      </c>
      <c r="G208">
        <v>1836123</v>
      </c>
      <c r="H208" s="5">
        <v>734449</v>
      </c>
      <c r="I208" s="1">
        <v>12</v>
      </c>
      <c r="J208">
        <v>456</v>
      </c>
      <c r="K208">
        <v>2015</v>
      </c>
      <c r="L208">
        <v>4</v>
      </c>
      <c r="M208" t="s">
        <v>510</v>
      </c>
      <c r="N208" t="s">
        <v>13</v>
      </c>
      <c r="O208" t="s">
        <v>639</v>
      </c>
      <c r="P208">
        <v>123</v>
      </c>
      <c r="Q208">
        <v>1</v>
      </c>
      <c r="R208" t="s">
        <v>138</v>
      </c>
      <c r="S208" t="s">
        <v>13</v>
      </c>
      <c r="T208" t="s">
        <v>184</v>
      </c>
      <c r="U208" t="s">
        <v>84</v>
      </c>
      <c r="V208" t="s">
        <v>85</v>
      </c>
      <c r="W208">
        <v>0.4</v>
      </c>
      <c r="X208" t="s">
        <v>197</v>
      </c>
      <c r="Y208" t="s">
        <v>314</v>
      </c>
      <c r="Z208" t="s">
        <v>3</v>
      </c>
      <c r="AA208" t="s">
        <v>6</v>
      </c>
      <c r="AB208">
        <f xml:space="preserve"> COUNTIF(Fact[[#This Row],[Partner.Partner Driven]], "Yes") / COUNTA(Fact[Opportunity ID])</f>
        <v>0</v>
      </c>
      <c r="AC208">
        <f>IFERROR(INDEX(Fact[[#All],[Opportunity ID]],MATCH(X208,Fact[[#All],[salestage.Sales Stage]],0))/INDEX(Fact[[#All],[Opportunity ID]],MATCH(X207,Fact[[#All],[salestage.Sales Stage]],0)), "")</f>
        <v>4.5</v>
      </c>
    </row>
    <row r="209" spans="1:29" x14ac:dyDescent="0.3">
      <c r="A209" s="1">
        <v>42124.457638888889</v>
      </c>
      <c r="B209">
        <v>208</v>
      </c>
      <c r="C209">
        <v>2</v>
      </c>
      <c r="D209">
        <v>164</v>
      </c>
      <c r="E209">
        <v>22</v>
      </c>
      <c r="F209">
        <v>19</v>
      </c>
      <c r="G209">
        <v>5314380</v>
      </c>
      <c r="H209" s="5">
        <v>1062876</v>
      </c>
      <c r="I209" s="1">
        <v>28</v>
      </c>
      <c r="J209">
        <v>398</v>
      </c>
      <c r="K209">
        <v>2015</v>
      </c>
      <c r="L209">
        <v>4</v>
      </c>
      <c r="M209" t="s">
        <v>510</v>
      </c>
      <c r="N209" t="s">
        <v>13</v>
      </c>
      <c r="O209" t="s">
        <v>640</v>
      </c>
      <c r="P209">
        <v>313</v>
      </c>
      <c r="Q209">
        <v>2</v>
      </c>
      <c r="R209" t="s">
        <v>143</v>
      </c>
      <c r="S209" t="s">
        <v>13</v>
      </c>
      <c r="T209" t="s">
        <v>188</v>
      </c>
      <c r="U209" t="s">
        <v>84</v>
      </c>
      <c r="V209" t="s">
        <v>85</v>
      </c>
      <c r="W209">
        <v>0.2</v>
      </c>
      <c r="X209" t="s">
        <v>196</v>
      </c>
      <c r="Y209" t="s">
        <v>315</v>
      </c>
      <c r="Z209" t="s">
        <v>13</v>
      </c>
      <c r="AA209" t="s">
        <v>4</v>
      </c>
      <c r="AB209">
        <f xml:space="preserve"> COUNTIF(Fact[[#This Row],[Partner.Partner Driven]], "Yes") / COUNTA(Fact[Opportunity ID])</f>
        <v>0</v>
      </c>
      <c r="AC209">
        <f>IFERROR(INDEX(Fact[[#All],[Opportunity ID]],MATCH(X209,Fact[[#All],[salestage.Sales Stage]],0))/INDEX(Fact[[#All],[Opportunity ID]],MATCH(X208,Fact[[#All],[salestage.Sales Stage]],0)), "")</f>
        <v>0.1111111111111111</v>
      </c>
    </row>
    <row r="210" spans="1:29" x14ac:dyDescent="0.3">
      <c r="A210" s="1">
        <v>42369.457638888889</v>
      </c>
      <c r="B210">
        <v>209</v>
      </c>
      <c r="C210">
        <v>1</v>
      </c>
      <c r="D210">
        <v>165</v>
      </c>
      <c r="E210">
        <v>56</v>
      </c>
      <c r="F210">
        <v>21</v>
      </c>
      <c r="G210">
        <v>4749888</v>
      </c>
      <c r="H210" s="5">
        <v>474989</v>
      </c>
      <c r="I210" s="1">
        <v>28</v>
      </c>
      <c r="J210">
        <v>643</v>
      </c>
      <c r="K210">
        <v>2015</v>
      </c>
      <c r="L210">
        <v>12</v>
      </c>
      <c r="M210" t="s">
        <v>508</v>
      </c>
      <c r="N210" t="s">
        <v>13</v>
      </c>
      <c r="O210" t="s">
        <v>641</v>
      </c>
      <c r="P210">
        <v>279</v>
      </c>
      <c r="Q210">
        <v>2</v>
      </c>
      <c r="R210" t="s">
        <v>143</v>
      </c>
      <c r="S210" t="s">
        <v>13</v>
      </c>
      <c r="T210" t="s">
        <v>190</v>
      </c>
      <c r="U210" t="s">
        <v>126</v>
      </c>
      <c r="V210" t="s">
        <v>72</v>
      </c>
      <c r="W210">
        <v>0.1</v>
      </c>
      <c r="X210" t="s">
        <v>195</v>
      </c>
      <c r="Y210" t="s">
        <v>316</v>
      </c>
      <c r="Z210" t="s">
        <v>8</v>
      </c>
      <c r="AA210" t="s">
        <v>6</v>
      </c>
      <c r="AB210">
        <f xml:space="preserve"> COUNTIF(Fact[[#This Row],[Partner.Partner Driven]], "Yes") / COUNTA(Fact[Opportunity ID])</f>
        <v>2.05761316872428E-3</v>
      </c>
      <c r="AC210">
        <f>IFERROR(INDEX(Fact[[#All],[Opportunity ID]],MATCH(X210,Fact[[#All],[salestage.Sales Stage]],0))/INDEX(Fact[[#All],[Opportunity ID]],MATCH(X209,Fact[[#All],[salestage.Sales Stage]],0)), "")</f>
        <v>2</v>
      </c>
    </row>
    <row r="211" spans="1:29" x14ac:dyDescent="0.3">
      <c r="A211" s="1">
        <v>42369.457638888889</v>
      </c>
      <c r="B211">
        <v>210</v>
      </c>
      <c r="C211">
        <v>1</v>
      </c>
      <c r="D211">
        <v>166</v>
      </c>
      <c r="E211">
        <v>57</v>
      </c>
      <c r="F211">
        <v>25</v>
      </c>
      <c r="G211">
        <v>6971322</v>
      </c>
      <c r="H211" s="5">
        <v>697132</v>
      </c>
      <c r="I211" s="1">
        <v>21</v>
      </c>
      <c r="J211">
        <v>678</v>
      </c>
      <c r="K211">
        <v>2015</v>
      </c>
      <c r="L211">
        <v>12</v>
      </c>
      <c r="M211" t="s">
        <v>508</v>
      </c>
      <c r="N211" t="s">
        <v>3</v>
      </c>
      <c r="O211" t="s">
        <v>643</v>
      </c>
      <c r="P211">
        <v>384</v>
      </c>
      <c r="Q211">
        <v>3</v>
      </c>
      <c r="R211" t="s">
        <v>9</v>
      </c>
      <c r="S211" t="s">
        <v>3</v>
      </c>
      <c r="T211" t="s">
        <v>194</v>
      </c>
      <c r="U211" t="s">
        <v>108</v>
      </c>
      <c r="V211" t="s">
        <v>72</v>
      </c>
      <c r="W211">
        <v>0.1</v>
      </c>
      <c r="X211" t="s">
        <v>195</v>
      </c>
      <c r="Y211" t="s">
        <v>317</v>
      </c>
      <c r="Z211" t="s">
        <v>3</v>
      </c>
      <c r="AA211" t="s">
        <v>6</v>
      </c>
      <c r="AB211">
        <f xml:space="preserve"> COUNTIF(Fact[[#This Row],[Partner.Partner Driven]], "Yes") / COUNTA(Fact[Opportunity ID])</f>
        <v>2.05761316872428E-3</v>
      </c>
      <c r="AC211">
        <f>IFERROR(INDEX(Fact[[#All],[Opportunity ID]],MATCH(X211,Fact[[#All],[salestage.Sales Stage]],0))/INDEX(Fact[[#All],[Opportunity ID]],MATCH(X210,Fact[[#All],[salestage.Sales Stage]],0)), "")</f>
        <v>1</v>
      </c>
    </row>
    <row r="212" spans="1:29" x14ac:dyDescent="0.3">
      <c r="A212" s="1">
        <v>42369.457638888889</v>
      </c>
      <c r="B212">
        <v>211</v>
      </c>
      <c r="C212">
        <v>1</v>
      </c>
      <c r="D212">
        <v>167</v>
      </c>
      <c r="E212">
        <v>22</v>
      </c>
      <c r="F212">
        <v>25</v>
      </c>
      <c r="G212">
        <v>199253</v>
      </c>
      <c r="H212" s="5">
        <v>19925</v>
      </c>
      <c r="I212" s="1">
        <v>8</v>
      </c>
      <c r="J212">
        <v>510</v>
      </c>
      <c r="K212">
        <v>2015</v>
      </c>
      <c r="L212">
        <v>12</v>
      </c>
      <c r="M212" t="s">
        <v>508</v>
      </c>
      <c r="N212" t="s">
        <v>13</v>
      </c>
      <c r="O212" t="s">
        <v>644</v>
      </c>
      <c r="P212">
        <v>22</v>
      </c>
      <c r="Q212">
        <v>1</v>
      </c>
      <c r="R212" t="s">
        <v>138</v>
      </c>
      <c r="S212" t="s">
        <v>13</v>
      </c>
      <c r="T212" t="s">
        <v>194</v>
      </c>
      <c r="U212" t="s">
        <v>84</v>
      </c>
      <c r="V212" t="s">
        <v>85</v>
      </c>
      <c r="W212">
        <v>0.1</v>
      </c>
      <c r="X212" t="s">
        <v>195</v>
      </c>
      <c r="Y212" t="s">
        <v>318</v>
      </c>
      <c r="Z212" t="s">
        <v>8</v>
      </c>
      <c r="AA212" t="s">
        <v>4</v>
      </c>
      <c r="AB212">
        <f xml:space="preserve"> COUNTIF(Fact[[#This Row],[Partner.Partner Driven]], "Yes") / COUNTA(Fact[Opportunity ID])</f>
        <v>0</v>
      </c>
      <c r="AC212">
        <f>IFERROR(INDEX(Fact[[#All],[Opportunity ID]],MATCH(X212,Fact[[#All],[salestage.Sales Stage]],0))/INDEX(Fact[[#All],[Opportunity ID]],MATCH(X211,Fact[[#All],[salestage.Sales Stage]],0)), "")</f>
        <v>1</v>
      </c>
    </row>
    <row r="213" spans="1:29" x14ac:dyDescent="0.3">
      <c r="A213" s="1">
        <v>42038.457638888889</v>
      </c>
      <c r="B213">
        <v>212</v>
      </c>
      <c r="C213">
        <v>4</v>
      </c>
      <c r="D213">
        <v>168</v>
      </c>
      <c r="E213">
        <v>22</v>
      </c>
      <c r="F213">
        <v>17</v>
      </c>
      <c r="G213">
        <v>5104724</v>
      </c>
      <c r="H213" s="5">
        <v>3062834</v>
      </c>
      <c r="I213" s="1">
        <v>3</v>
      </c>
      <c r="J213">
        <v>396</v>
      </c>
      <c r="K213">
        <v>2015</v>
      </c>
      <c r="L213">
        <v>2</v>
      </c>
      <c r="M213" t="s">
        <v>509</v>
      </c>
      <c r="N213" t="s">
        <v>13</v>
      </c>
      <c r="O213" t="s">
        <v>645</v>
      </c>
      <c r="P213">
        <v>300</v>
      </c>
      <c r="Q213">
        <v>2</v>
      </c>
      <c r="R213" t="s">
        <v>143</v>
      </c>
      <c r="S213" t="s">
        <v>13</v>
      </c>
      <c r="T213" t="s">
        <v>186</v>
      </c>
      <c r="U213" t="s">
        <v>84</v>
      </c>
      <c r="V213" t="s">
        <v>85</v>
      </c>
      <c r="W213">
        <v>0.6</v>
      </c>
      <c r="X213" t="s">
        <v>198</v>
      </c>
      <c r="Y213" t="s">
        <v>319</v>
      </c>
      <c r="Z213" t="s">
        <v>8</v>
      </c>
      <c r="AA213" t="s">
        <v>4</v>
      </c>
      <c r="AB213">
        <f xml:space="preserve"> COUNTIF(Fact[[#This Row],[Partner.Partner Driven]], "Yes") / COUNTA(Fact[Opportunity ID])</f>
        <v>0</v>
      </c>
      <c r="AC213">
        <f>IFERROR(INDEX(Fact[[#All],[Opportunity ID]],MATCH(X213,Fact[[#All],[salestage.Sales Stage]],0))/INDEX(Fact[[#All],[Opportunity ID]],MATCH(X212,Fact[[#All],[salestage.Sales Stage]],0)), "")</f>
        <v>14</v>
      </c>
    </row>
    <row r="214" spans="1:29" x14ac:dyDescent="0.3">
      <c r="A214" s="1">
        <v>42153.457638888889</v>
      </c>
      <c r="B214">
        <v>213</v>
      </c>
      <c r="C214">
        <v>2</v>
      </c>
      <c r="D214">
        <v>169</v>
      </c>
      <c r="E214">
        <v>58</v>
      </c>
      <c r="F214">
        <v>10</v>
      </c>
      <c r="G214">
        <v>7962243</v>
      </c>
      <c r="H214" s="5">
        <v>1592449</v>
      </c>
      <c r="I214" s="1">
        <v>17</v>
      </c>
      <c r="J214">
        <v>438</v>
      </c>
      <c r="K214">
        <v>2015</v>
      </c>
      <c r="L214">
        <v>5</v>
      </c>
      <c r="M214" t="s">
        <v>68</v>
      </c>
      <c r="N214" t="s">
        <v>3</v>
      </c>
      <c r="O214" t="s">
        <v>646</v>
      </c>
      <c r="P214">
        <v>413</v>
      </c>
      <c r="Q214">
        <v>3</v>
      </c>
      <c r="R214" t="s">
        <v>9</v>
      </c>
      <c r="S214" t="s">
        <v>3</v>
      </c>
      <c r="T214" t="s">
        <v>179</v>
      </c>
      <c r="U214" t="s">
        <v>131</v>
      </c>
      <c r="V214" t="s">
        <v>72</v>
      </c>
      <c r="W214">
        <v>0.2</v>
      </c>
      <c r="X214" t="s">
        <v>196</v>
      </c>
      <c r="Y214" t="s">
        <v>320</v>
      </c>
      <c r="Z214" t="s">
        <v>3</v>
      </c>
      <c r="AA214" t="s">
        <v>6</v>
      </c>
      <c r="AB214">
        <f xml:space="preserve"> COUNTIF(Fact[[#This Row],[Partner.Partner Driven]], "Yes") / COUNTA(Fact[Opportunity ID])</f>
        <v>2.05761316872428E-3</v>
      </c>
      <c r="AC214">
        <f>IFERROR(INDEX(Fact[[#All],[Opportunity ID]],MATCH(X214,Fact[[#All],[salestage.Sales Stage]],0))/INDEX(Fact[[#All],[Opportunity ID]],MATCH(X213,Fact[[#All],[salestage.Sales Stage]],0)), "")</f>
        <v>3.5714285714285712E-2</v>
      </c>
    </row>
    <row r="215" spans="1:29" x14ac:dyDescent="0.3">
      <c r="A215" s="1">
        <v>42152.457638888889</v>
      </c>
      <c r="B215">
        <v>214</v>
      </c>
      <c r="C215">
        <v>1</v>
      </c>
      <c r="D215">
        <v>170</v>
      </c>
      <c r="E215">
        <v>3</v>
      </c>
      <c r="F215">
        <v>10</v>
      </c>
      <c r="G215">
        <v>907783</v>
      </c>
      <c r="H215" s="5">
        <v>90778</v>
      </c>
      <c r="I215" s="1">
        <v>4</v>
      </c>
      <c r="J215">
        <v>419</v>
      </c>
      <c r="K215">
        <v>2015</v>
      </c>
      <c r="L215">
        <v>5</v>
      </c>
      <c r="M215" t="s">
        <v>68</v>
      </c>
      <c r="N215" t="s">
        <v>13</v>
      </c>
      <c r="O215" t="s">
        <v>647</v>
      </c>
      <c r="P215">
        <v>64</v>
      </c>
      <c r="Q215">
        <v>1</v>
      </c>
      <c r="R215" t="s">
        <v>138</v>
      </c>
      <c r="S215" t="s">
        <v>13</v>
      </c>
      <c r="T215" t="s">
        <v>179</v>
      </c>
      <c r="U215" t="s">
        <v>115</v>
      </c>
      <c r="V215" t="s">
        <v>72</v>
      </c>
      <c r="W215">
        <v>0.1</v>
      </c>
      <c r="X215" t="s">
        <v>195</v>
      </c>
      <c r="Y215" t="s">
        <v>321</v>
      </c>
      <c r="Z215" t="s">
        <v>13</v>
      </c>
      <c r="AA215" t="s">
        <v>9</v>
      </c>
      <c r="AB215">
        <f xml:space="preserve"> COUNTIF(Fact[[#This Row],[Partner.Partner Driven]], "Yes") / COUNTA(Fact[Opportunity ID])</f>
        <v>2.05761316872428E-3</v>
      </c>
      <c r="AC215">
        <f>IFERROR(INDEX(Fact[[#All],[Opportunity ID]],MATCH(X215,Fact[[#All],[salestage.Sales Stage]],0))/INDEX(Fact[[#All],[Opportunity ID]],MATCH(X214,Fact[[#All],[salestage.Sales Stage]],0)), "")</f>
        <v>2</v>
      </c>
    </row>
    <row r="216" spans="1:29" x14ac:dyDescent="0.3">
      <c r="A216" s="1">
        <v>42307.457638888889</v>
      </c>
      <c r="B216">
        <v>215</v>
      </c>
      <c r="C216">
        <v>1</v>
      </c>
      <c r="D216">
        <v>171</v>
      </c>
      <c r="E216">
        <v>59</v>
      </c>
      <c r="F216">
        <v>5</v>
      </c>
      <c r="G216">
        <v>2282630</v>
      </c>
      <c r="H216" s="5">
        <v>228263</v>
      </c>
      <c r="I216" s="1">
        <v>29</v>
      </c>
      <c r="J216">
        <v>639</v>
      </c>
      <c r="K216">
        <v>2015</v>
      </c>
      <c r="L216">
        <v>10</v>
      </c>
      <c r="M216" t="s">
        <v>505</v>
      </c>
      <c r="N216" t="s">
        <v>13</v>
      </c>
      <c r="O216" t="s">
        <v>648</v>
      </c>
      <c r="P216">
        <v>151</v>
      </c>
      <c r="Q216">
        <v>1</v>
      </c>
      <c r="R216" t="s">
        <v>138</v>
      </c>
      <c r="S216" t="s">
        <v>13</v>
      </c>
      <c r="T216" t="s">
        <v>174</v>
      </c>
      <c r="U216" t="s">
        <v>541</v>
      </c>
      <c r="V216" t="s">
        <v>72</v>
      </c>
      <c r="W216">
        <v>0.1</v>
      </c>
      <c r="X216" t="s">
        <v>195</v>
      </c>
      <c r="Y216" t="s">
        <v>322</v>
      </c>
      <c r="Z216" t="s">
        <v>13</v>
      </c>
      <c r="AA216" t="s">
        <v>6</v>
      </c>
      <c r="AB216">
        <f xml:space="preserve"> COUNTIF(Fact[[#This Row],[Partner.Partner Driven]], "Yes") / COUNTA(Fact[Opportunity ID])</f>
        <v>2.05761316872428E-3</v>
      </c>
      <c r="AC216">
        <f>IFERROR(INDEX(Fact[[#All],[Opportunity ID]],MATCH(X216,Fact[[#All],[salestage.Sales Stage]],0))/INDEX(Fact[[#All],[Opportunity ID]],MATCH(X215,Fact[[#All],[salestage.Sales Stage]],0)), "")</f>
        <v>1</v>
      </c>
    </row>
    <row r="217" spans="1:29" x14ac:dyDescent="0.3">
      <c r="A217" s="1">
        <v>42369.457638888889</v>
      </c>
      <c r="B217">
        <v>216</v>
      </c>
      <c r="C217">
        <v>1</v>
      </c>
      <c r="D217">
        <v>172</v>
      </c>
      <c r="E217">
        <v>53</v>
      </c>
      <c r="F217">
        <v>3</v>
      </c>
      <c r="G217">
        <v>7027182</v>
      </c>
      <c r="H217" s="5">
        <v>702718</v>
      </c>
      <c r="I217" s="1">
        <v>22</v>
      </c>
      <c r="J217">
        <v>708</v>
      </c>
      <c r="K217">
        <v>2015</v>
      </c>
      <c r="L217">
        <v>12</v>
      </c>
      <c r="M217" t="s">
        <v>508</v>
      </c>
      <c r="N217" t="s">
        <v>13</v>
      </c>
      <c r="O217" t="s">
        <v>649</v>
      </c>
      <c r="P217">
        <v>388</v>
      </c>
      <c r="Q217">
        <v>3</v>
      </c>
      <c r="R217" t="s">
        <v>9</v>
      </c>
      <c r="S217" t="s">
        <v>13</v>
      </c>
      <c r="T217" t="s">
        <v>172</v>
      </c>
      <c r="U217" t="s">
        <v>519</v>
      </c>
      <c r="V217" t="s">
        <v>72</v>
      </c>
      <c r="W217">
        <v>0.1</v>
      </c>
      <c r="X217" t="s">
        <v>195</v>
      </c>
      <c r="Y217" t="s">
        <v>323</v>
      </c>
      <c r="Z217" t="s">
        <v>13</v>
      </c>
      <c r="AA217" t="s">
        <v>6</v>
      </c>
      <c r="AB217">
        <f xml:space="preserve"> COUNTIF(Fact[[#This Row],[Partner.Partner Driven]], "Yes") / COUNTA(Fact[Opportunity ID])</f>
        <v>2.05761316872428E-3</v>
      </c>
      <c r="AC217">
        <f>IFERROR(INDEX(Fact[[#All],[Opportunity ID]],MATCH(X217,Fact[[#All],[salestage.Sales Stage]],0))/INDEX(Fact[[#All],[Opportunity ID]],MATCH(X216,Fact[[#All],[salestage.Sales Stage]],0)), "")</f>
        <v>1</v>
      </c>
    </row>
    <row r="218" spans="1:29" x14ac:dyDescent="0.3">
      <c r="A218" s="1">
        <v>42231.457638888889</v>
      </c>
      <c r="B218">
        <v>217</v>
      </c>
      <c r="C218">
        <v>1</v>
      </c>
      <c r="D218">
        <v>112</v>
      </c>
      <c r="E218">
        <v>3</v>
      </c>
      <c r="F218">
        <v>7</v>
      </c>
      <c r="G218">
        <v>9714813</v>
      </c>
      <c r="H218" s="5">
        <v>971481</v>
      </c>
      <c r="I218" s="1">
        <v>6</v>
      </c>
      <c r="J218">
        <v>527</v>
      </c>
      <c r="K218">
        <v>2015</v>
      </c>
      <c r="L218">
        <v>8</v>
      </c>
      <c r="M218" t="s">
        <v>513</v>
      </c>
      <c r="N218" t="s">
        <v>3</v>
      </c>
      <c r="O218" t="s">
        <v>650</v>
      </c>
      <c r="P218">
        <v>456</v>
      </c>
      <c r="Q218">
        <v>3</v>
      </c>
      <c r="R218" t="s">
        <v>9</v>
      </c>
      <c r="S218" t="s">
        <v>3</v>
      </c>
      <c r="T218" t="s">
        <v>176</v>
      </c>
      <c r="U218" t="s">
        <v>115</v>
      </c>
      <c r="V218" t="s">
        <v>72</v>
      </c>
      <c r="W218">
        <v>0.1</v>
      </c>
      <c r="X218" t="s">
        <v>195</v>
      </c>
      <c r="Y218" t="s">
        <v>263</v>
      </c>
      <c r="Z218" t="s">
        <v>13</v>
      </c>
      <c r="AA218" t="s">
        <v>4</v>
      </c>
      <c r="AB218">
        <f xml:space="preserve"> COUNTIF(Fact[[#This Row],[Partner.Partner Driven]], "Yes") / COUNTA(Fact[Opportunity ID])</f>
        <v>2.05761316872428E-3</v>
      </c>
      <c r="AC218">
        <f>IFERROR(INDEX(Fact[[#All],[Opportunity ID]],MATCH(X218,Fact[[#All],[salestage.Sales Stage]],0))/INDEX(Fact[[#All],[Opportunity ID]],MATCH(X217,Fact[[#All],[salestage.Sales Stage]],0)), "")</f>
        <v>1</v>
      </c>
    </row>
    <row r="219" spans="1:29" x14ac:dyDescent="0.3">
      <c r="A219" s="1">
        <v>42338.457638888889</v>
      </c>
      <c r="B219">
        <v>218</v>
      </c>
      <c r="C219">
        <v>1</v>
      </c>
      <c r="D219">
        <v>61</v>
      </c>
      <c r="E219">
        <v>22</v>
      </c>
      <c r="F219">
        <v>24</v>
      </c>
      <c r="G219">
        <v>6203732</v>
      </c>
      <c r="H219" s="5">
        <v>620373</v>
      </c>
      <c r="I219" s="1">
        <v>20</v>
      </c>
      <c r="J219">
        <v>436</v>
      </c>
      <c r="K219">
        <v>2015</v>
      </c>
      <c r="L219">
        <v>11</v>
      </c>
      <c r="M219" t="s">
        <v>506</v>
      </c>
      <c r="N219" t="s">
        <v>3</v>
      </c>
      <c r="O219" t="s">
        <v>651</v>
      </c>
      <c r="P219">
        <v>352</v>
      </c>
      <c r="Q219">
        <v>3</v>
      </c>
      <c r="R219" t="s">
        <v>9</v>
      </c>
      <c r="S219" t="s">
        <v>3</v>
      </c>
      <c r="T219" t="s">
        <v>193</v>
      </c>
      <c r="U219" t="s">
        <v>84</v>
      </c>
      <c r="V219" t="s">
        <v>85</v>
      </c>
      <c r="W219">
        <v>0.1</v>
      </c>
      <c r="X219" t="s">
        <v>195</v>
      </c>
      <c r="Y219" t="s">
        <v>212</v>
      </c>
      <c r="Z219" t="s">
        <v>3</v>
      </c>
      <c r="AA219" t="s">
        <v>9</v>
      </c>
      <c r="AB219">
        <f xml:space="preserve"> COUNTIF(Fact[[#This Row],[Partner.Partner Driven]], "Yes") / COUNTA(Fact[Opportunity ID])</f>
        <v>0</v>
      </c>
      <c r="AC219">
        <f>IFERROR(INDEX(Fact[[#All],[Opportunity ID]],MATCH(X219,Fact[[#All],[salestage.Sales Stage]],0))/INDEX(Fact[[#All],[Opportunity ID]],MATCH(X218,Fact[[#All],[salestage.Sales Stage]],0)), "")</f>
        <v>1</v>
      </c>
    </row>
    <row r="220" spans="1:29" x14ac:dyDescent="0.3">
      <c r="A220" s="1">
        <v>42130.457638888889</v>
      </c>
      <c r="B220">
        <v>219</v>
      </c>
      <c r="C220">
        <v>2</v>
      </c>
      <c r="D220">
        <v>173</v>
      </c>
      <c r="E220">
        <v>8</v>
      </c>
      <c r="F220">
        <v>4</v>
      </c>
      <c r="G220">
        <v>4760780</v>
      </c>
      <c r="H220" s="5">
        <v>952156</v>
      </c>
      <c r="I220" s="1">
        <v>5</v>
      </c>
      <c r="J220">
        <v>486</v>
      </c>
      <c r="K220">
        <v>2015</v>
      </c>
      <c r="L220">
        <v>5</v>
      </c>
      <c r="M220" t="s">
        <v>68</v>
      </c>
      <c r="N220" t="s">
        <v>13</v>
      </c>
      <c r="O220" t="s">
        <v>652</v>
      </c>
      <c r="P220">
        <v>280</v>
      </c>
      <c r="Q220">
        <v>2</v>
      </c>
      <c r="R220" t="s">
        <v>143</v>
      </c>
      <c r="S220" t="s">
        <v>13</v>
      </c>
      <c r="T220" t="s">
        <v>173</v>
      </c>
      <c r="U220" t="s">
        <v>526</v>
      </c>
      <c r="V220" t="s">
        <v>72</v>
      </c>
      <c r="W220">
        <v>0.2</v>
      </c>
      <c r="X220" t="s">
        <v>196</v>
      </c>
      <c r="Y220" t="s">
        <v>324</v>
      </c>
      <c r="Z220" t="s">
        <v>3</v>
      </c>
      <c r="AA220" t="s">
        <v>9</v>
      </c>
      <c r="AB220">
        <f xml:space="preserve"> COUNTIF(Fact[[#This Row],[Partner.Partner Driven]], "Yes") / COUNTA(Fact[Opportunity ID])</f>
        <v>2.05761316872428E-3</v>
      </c>
      <c r="AC220">
        <f>IFERROR(INDEX(Fact[[#All],[Opportunity ID]],MATCH(X220,Fact[[#All],[salestage.Sales Stage]],0))/INDEX(Fact[[#All],[Opportunity ID]],MATCH(X219,Fact[[#All],[salestage.Sales Stage]],0)), "")</f>
        <v>0.5</v>
      </c>
    </row>
    <row r="221" spans="1:29" x14ac:dyDescent="0.3">
      <c r="A221" s="1">
        <v>42094.457638888889</v>
      </c>
      <c r="B221">
        <v>220</v>
      </c>
      <c r="C221">
        <v>3</v>
      </c>
      <c r="D221">
        <v>174</v>
      </c>
      <c r="E221">
        <v>22</v>
      </c>
      <c r="F221">
        <v>15</v>
      </c>
      <c r="G221">
        <v>1450730</v>
      </c>
      <c r="H221" s="5">
        <v>580292</v>
      </c>
      <c r="I221" s="1">
        <v>8</v>
      </c>
      <c r="J221">
        <v>447</v>
      </c>
      <c r="K221">
        <v>2015</v>
      </c>
      <c r="L221">
        <v>3</v>
      </c>
      <c r="M221" t="s">
        <v>512</v>
      </c>
      <c r="N221" t="s">
        <v>13</v>
      </c>
      <c r="O221" t="s">
        <v>654</v>
      </c>
      <c r="P221">
        <v>98</v>
      </c>
      <c r="Q221">
        <v>1</v>
      </c>
      <c r="R221" t="s">
        <v>138</v>
      </c>
      <c r="S221" t="s">
        <v>13</v>
      </c>
      <c r="T221" t="s">
        <v>184</v>
      </c>
      <c r="U221" t="s">
        <v>84</v>
      </c>
      <c r="V221" t="s">
        <v>85</v>
      </c>
      <c r="W221">
        <v>0.4</v>
      </c>
      <c r="X221" t="s">
        <v>197</v>
      </c>
      <c r="Y221" t="s">
        <v>325</v>
      </c>
      <c r="Z221" t="s">
        <v>8</v>
      </c>
      <c r="AA221" t="s">
        <v>9</v>
      </c>
      <c r="AB221">
        <f xml:space="preserve"> COUNTIF(Fact[[#This Row],[Partner.Partner Driven]], "Yes") / COUNTA(Fact[Opportunity ID])</f>
        <v>0</v>
      </c>
      <c r="AC221">
        <f>IFERROR(INDEX(Fact[[#All],[Opportunity ID]],MATCH(X221,Fact[[#All],[salestage.Sales Stage]],0))/INDEX(Fact[[#All],[Opportunity ID]],MATCH(X220,Fact[[#All],[salestage.Sales Stage]],0)), "")</f>
        <v>9</v>
      </c>
    </row>
    <row r="222" spans="1:29" x14ac:dyDescent="0.3">
      <c r="A222" s="1">
        <v>42277.457638888889</v>
      </c>
      <c r="B222">
        <v>221</v>
      </c>
      <c r="C222">
        <v>1</v>
      </c>
      <c r="D222">
        <v>175</v>
      </c>
      <c r="E222">
        <v>60</v>
      </c>
      <c r="F222">
        <v>12</v>
      </c>
      <c r="G222">
        <v>9768746</v>
      </c>
      <c r="H222" s="5">
        <v>976875</v>
      </c>
      <c r="I222" s="1">
        <v>28</v>
      </c>
      <c r="J222">
        <v>579</v>
      </c>
      <c r="K222">
        <v>2015</v>
      </c>
      <c r="L222">
        <v>9</v>
      </c>
      <c r="M222" t="s">
        <v>507</v>
      </c>
      <c r="N222" t="s">
        <v>3</v>
      </c>
      <c r="O222" t="s">
        <v>655</v>
      </c>
      <c r="P222">
        <v>459</v>
      </c>
      <c r="Q222">
        <v>3</v>
      </c>
      <c r="R222" t="s">
        <v>9</v>
      </c>
      <c r="S222" t="s">
        <v>3</v>
      </c>
      <c r="T222" t="s">
        <v>181</v>
      </c>
      <c r="U222" t="s">
        <v>93</v>
      </c>
      <c r="V222" t="s">
        <v>72</v>
      </c>
      <c r="W222">
        <v>0.1</v>
      </c>
      <c r="X222" t="s">
        <v>195</v>
      </c>
      <c r="Y222" t="s">
        <v>326</v>
      </c>
      <c r="Z222" t="s">
        <v>8</v>
      </c>
      <c r="AA222" t="s">
        <v>9</v>
      </c>
      <c r="AB222">
        <f xml:space="preserve"> COUNTIF(Fact[[#This Row],[Partner.Partner Driven]], "Yes") / COUNTA(Fact[Opportunity ID])</f>
        <v>2.05761316872428E-3</v>
      </c>
      <c r="AC222">
        <f>IFERROR(INDEX(Fact[[#All],[Opportunity ID]],MATCH(X222,Fact[[#All],[salestage.Sales Stage]],0))/INDEX(Fact[[#All],[Opportunity ID]],MATCH(X221,Fact[[#All],[salestage.Sales Stage]],0)), "")</f>
        <v>0.22222222222222221</v>
      </c>
    </row>
    <row r="223" spans="1:29" x14ac:dyDescent="0.3">
      <c r="A223" s="1">
        <v>42369.457638888889</v>
      </c>
      <c r="B223">
        <v>222</v>
      </c>
      <c r="C223">
        <v>1</v>
      </c>
      <c r="D223">
        <v>93</v>
      </c>
      <c r="E223">
        <v>8</v>
      </c>
      <c r="F223">
        <v>18</v>
      </c>
      <c r="G223">
        <v>7003479</v>
      </c>
      <c r="H223" s="5">
        <v>700348</v>
      </c>
      <c r="I223" s="1">
        <v>1</v>
      </c>
      <c r="J223">
        <v>517</v>
      </c>
      <c r="K223">
        <v>2015</v>
      </c>
      <c r="L223">
        <v>12</v>
      </c>
      <c r="M223" t="s">
        <v>508</v>
      </c>
      <c r="N223" t="s">
        <v>3</v>
      </c>
      <c r="O223" t="s">
        <v>656</v>
      </c>
      <c r="P223">
        <v>385</v>
      </c>
      <c r="Q223">
        <v>3</v>
      </c>
      <c r="R223" t="s">
        <v>9</v>
      </c>
      <c r="S223" t="s">
        <v>3</v>
      </c>
      <c r="T223" t="s">
        <v>187</v>
      </c>
      <c r="U223" t="s">
        <v>526</v>
      </c>
      <c r="V223" t="s">
        <v>72</v>
      </c>
      <c r="W223">
        <v>0.1</v>
      </c>
      <c r="X223" t="s">
        <v>195</v>
      </c>
      <c r="Y223" t="s">
        <v>244</v>
      </c>
      <c r="Z223" t="s">
        <v>3</v>
      </c>
      <c r="AA223" t="s">
        <v>4</v>
      </c>
      <c r="AB223">
        <f xml:space="preserve"> COUNTIF(Fact[[#This Row],[Partner.Partner Driven]], "Yes") / COUNTA(Fact[Opportunity ID])</f>
        <v>2.05761316872428E-3</v>
      </c>
      <c r="AC223">
        <f>IFERROR(INDEX(Fact[[#All],[Opportunity ID]],MATCH(X223,Fact[[#All],[salestage.Sales Stage]],0))/INDEX(Fact[[#All],[Opportunity ID]],MATCH(X222,Fact[[#All],[salestage.Sales Stage]],0)), "")</f>
        <v>1</v>
      </c>
    </row>
    <row r="224" spans="1:29" x14ac:dyDescent="0.3">
      <c r="A224" s="1">
        <v>42125.457638888889</v>
      </c>
      <c r="B224">
        <v>223</v>
      </c>
      <c r="C224">
        <v>1</v>
      </c>
      <c r="D224">
        <v>176</v>
      </c>
      <c r="E224">
        <v>8</v>
      </c>
      <c r="F224">
        <v>10</v>
      </c>
      <c r="G224">
        <v>8392794</v>
      </c>
      <c r="H224" s="5">
        <v>839279</v>
      </c>
      <c r="I224" s="1">
        <v>1</v>
      </c>
      <c r="J224">
        <v>365</v>
      </c>
      <c r="K224">
        <v>2015</v>
      </c>
      <c r="L224">
        <v>5</v>
      </c>
      <c r="M224" t="s">
        <v>68</v>
      </c>
      <c r="N224" t="s">
        <v>13</v>
      </c>
      <c r="O224" t="s">
        <v>657</v>
      </c>
      <c r="P224">
        <v>426</v>
      </c>
      <c r="Q224">
        <v>3</v>
      </c>
      <c r="R224" t="s">
        <v>9</v>
      </c>
      <c r="S224" t="s">
        <v>13</v>
      </c>
      <c r="T224" t="s">
        <v>179</v>
      </c>
      <c r="U224" t="s">
        <v>526</v>
      </c>
      <c r="V224" t="s">
        <v>72</v>
      </c>
      <c r="W224">
        <v>0.1</v>
      </c>
      <c r="X224" t="s">
        <v>195</v>
      </c>
      <c r="Y224" t="s">
        <v>327</v>
      </c>
      <c r="Z224" t="s">
        <v>3</v>
      </c>
      <c r="AA224" t="s">
        <v>4</v>
      </c>
      <c r="AB224">
        <f xml:space="preserve"> COUNTIF(Fact[[#This Row],[Partner.Partner Driven]], "Yes") / COUNTA(Fact[Opportunity ID])</f>
        <v>2.05761316872428E-3</v>
      </c>
      <c r="AC224">
        <f>IFERROR(INDEX(Fact[[#All],[Opportunity ID]],MATCH(X224,Fact[[#All],[salestage.Sales Stage]],0))/INDEX(Fact[[#All],[Opportunity ID]],MATCH(X223,Fact[[#All],[salestage.Sales Stage]],0)), "")</f>
        <v>1</v>
      </c>
    </row>
    <row r="225" spans="1:29" x14ac:dyDescent="0.3">
      <c r="A225" s="1">
        <v>42277.457638888889</v>
      </c>
      <c r="B225">
        <v>224</v>
      </c>
      <c r="C225">
        <v>3</v>
      </c>
      <c r="D225">
        <v>14</v>
      </c>
      <c r="E225">
        <v>8</v>
      </c>
      <c r="F225">
        <v>22</v>
      </c>
      <c r="G225">
        <v>9303462</v>
      </c>
      <c r="H225" s="5">
        <v>3721385</v>
      </c>
      <c r="I225" s="1">
        <v>4</v>
      </c>
      <c r="J225">
        <v>514</v>
      </c>
      <c r="K225">
        <v>2015</v>
      </c>
      <c r="L225">
        <v>9</v>
      </c>
      <c r="M225" t="s">
        <v>507</v>
      </c>
      <c r="N225" t="s">
        <v>13</v>
      </c>
      <c r="O225" t="s">
        <v>658</v>
      </c>
      <c r="P225">
        <v>451</v>
      </c>
      <c r="Q225">
        <v>3</v>
      </c>
      <c r="R225" t="s">
        <v>9</v>
      </c>
      <c r="S225" t="s">
        <v>13</v>
      </c>
      <c r="T225" t="s">
        <v>191</v>
      </c>
      <c r="U225" t="s">
        <v>526</v>
      </c>
      <c r="V225" t="s">
        <v>72</v>
      </c>
      <c r="W225">
        <v>0.4</v>
      </c>
      <c r="X225" t="s">
        <v>197</v>
      </c>
      <c r="Y225" t="s">
        <v>21</v>
      </c>
      <c r="Z225" t="s">
        <v>13</v>
      </c>
      <c r="AA225" t="s">
        <v>4</v>
      </c>
      <c r="AB225">
        <f xml:space="preserve"> COUNTIF(Fact[[#This Row],[Partner.Partner Driven]], "Yes") / COUNTA(Fact[Opportunity ID])</f>
        <v>2.05761316872428E-3</v>
      </c>
      <c r="AC225">
        <f>IFERROR(INDEX(Fact[[#All],[Opportunity ID]],MATCH(X225,Fact[[#All],[salestage.Sales Stage]],0))/INDEX(Fact[[#All],[Opportunity ID]],MATCH(X224,Fact[[#All],[salestage.Sales Stage]],0)), "")</f>
        <v>4.5</v>
      </c>
    </row>
    <row r="226" spans="1:29" x14ac:dyDescent="0.3">
      <c r="A226" s="1">
        <v>42048.457638888889</v>
      </c>
      <c r="B226">
        <v>225</v>
      </c>
      <c r="C226">
        <v>3</v>
      </c>
      <c r="D226">
        <v>177</v>
      </c>
      <c r="E226">
        <v>61</v>
      </c>
      <c r="F226">
        <v>4</v>
      </c>
      <c r="G226">
        <v>9067368</v>
      </c>
      <c r="H226" s="5">
        <v>3626947</v>
      </c>
      <c r="I226" s="1">
        <v>12</v>
      </c>
      <c r="J226">
        <v>366</v>
      </c>
      <c r="K226">
        <v>2015</v>
      </c>
      <c r="L226">
        <v>2</v>
      </c>
      <c r="M226" t="s">
        <v>509</v>
      </c>
      <c r="N226" t="s">
        <v>8</v>
      </c>
      <c r="O226" t="s">
        <v>659</v>
      </c>
      <c r="P226">
        <v>442</v>
      </c>
      <c r="Q226">
        <v>3</v>
      </c>
      <c r="R226" t="s">
        <v>9</v>
      </c>
      <c r="S226" t="s">
        <v>8</v>
      </c>
      <c r="T226" t="s">
        <v>173</v>
      </c>
      <c r="U226" t="s">
        <v>544</v>
      </c>
      <c r="V226" t="s">
        <v>72</v>
      </c>
      <c r="W226">
        <v>0.4</v>
      </c>
      <c r="X226" t="s">
        <v>197</v>
      </c>
      <c r="Y226" t="s">
        <v>328</v>
      </c>
      <c r="Z226" t="s">
        <v>13</v>
      </c>
      <c r="AA226" t="s">
        <v>4</v>
      </c>
      <c r="AB226">
        <f xml:space="preserve"> COUNTIF(Fact[[#This Row],[Partner.Partner Driven]], "Yes") / COUNTA(Fact[Opportunity ID])</f>
        <v>2.05761316872428E-3</v>
      </c>
      <c r="AC226">
        <f>IFERROR(INDEX(Fact[[#All],[Opportunity ID]],MATCH(X226,Fact[[#All],[salestage.Sales Stage]],0))/INDEX(Fact[[#All],[Opportunity ID]],MATCH(X225,Fact[[#All],[salestage.Sales Stage]],0)), "")</f>
        <v>1</v>
      </c>
    </row>
    <row r="227" spans="1:29" x14ac:dyDescent="0.3">
      <c r="A227" s="1">
        <v>42247.457638888889</v>
      </c>
      <c r="B227">
        <v>226</v>
      </c>
      <c r="C227">
        <v>1</v>
      </c>
      <c r="D227">
        <v>178</v>
      </c>
      <c r="E227">
        <v>12</v>
      </c>
      <c r="F227">
        <v>25</v>
      </c>
      <c r="G227">
        <v>8223511</v>
      </c>
      <c r="H227" s="5">
        <v>822351</v>
      </c>
      <c r="I227" s="1">
        <v>22</v>
      </c>
      <c r="J227">
        <v>374</v>
      </c>
      <c r="K227">
        <v>2015</v>
      </c>
      <c r="L227">
        <v>8</v>
      </c>
      <c r="M227" t="s">
        <v>513</v>
      </c>
      <c r="N227" t="s">
        <v>13</v>
      </c>
      <c r="O227" t="s">
        <v>660</v>
      </c>
      <c r="P227">
        <v>419</v>
      </c>
      <c r="Q227">
        <v>3</v>
      </c>
      <c r="R227" t="s">
        <v>9</v>
      </c>
      <c r="S227" t="s">
        <v>13</v>
      </c>
      <c r="T227" t="s">
        <v>194</v>
      </c>
      <c r="U227" t="s">
        <v>112</v>
      </c>
      <c r="V227" t="s">
        <v>72</v>
      </c>
      <c r="W227">
        <v>0.1</v>
      </c>
      <c r="X227" t="s">
        <v>195</v>
      </c>
      <c r="Y227" t="s">
        <v>329</v>
      </c>
      <c r="Z227" t="s">
        <v>8</v>
      </c>
      <c r="AA227" t="s">
        <v>9</v>
      </c>
      <c r="AB227">
        <f xml:space="preserve"> COUNTIF(Fact[[#This Row],[Partner.Partner Driven]], "Yes") / COUNTA(Fact[Opportunity ID])</f>
        <v>2.05761316872428E-3</v>
      </c>
      <c r="AC227">
        <f>IFERROR(INDEX(Fact[[#All],[Opportunity ID]],MATCH(X227,Fact[[#All],[salestage.Sales Stage]],0))/INDEX(Fact[[#All],[Opportunity ID]],MATCH(X226,Fact[[#All],[salestage.Sales Stage]],0)), "")</f>
        <v>0.22222222222222221</v>
      </c>
    </row>
    <row r="228" spans="1:29" x14ac:dyDescent="0.3">
      <c r="A228" s="1">
        <v>42369.457638888889</v>
      </c>
      <c r="B228">
        <v>227</v>
      </c>
      <c r="C228">
        <v>1</v>
      </c>
      <c r="D228">
        <v>179</v>
      </c>
      <c r="E228">
        <v>8</v>
      </c>
      <c r="F228">
        <v>1</v>
      </c>
      <c r="G228">
        <v>1605822</v>
      </c>
      <c r="H228" s="5">
        <v>160582</v>
      </c>
      <c r="I228" s="1">
        <v>26</v>
      </c>
      <c r="J228">
        <v>461</v>
      </c>
      <c r="K228">
        <v>2015</v>
      </c>
      <c r="L228">
        <v>12</v>
      </c>
      <c r="M228" t="s">
        <v>508</v>
      </c>
      <c r="N228" t="s">
        <v>13</v>
      </c>
      <c r="O228" t="s">
        <v>661</v>
      </c>
      <c r="P228">
        <v>108</v>
      </c>
      <c r="Q228">
        <v>1</v>
      </c>
      <c r="R228" t="s">
        <v>138</v>
      </c>
      <c r="S228" t="s">
        <v>13</v>
      </c>
      <c r="T228" t="s">
        <v>170</v>
      </c>
      <c r="U228" t="s">
        <v>526</v>
      </c>
      <c r="V228" t="s">
        <v>72</v>
      </c>
      <c r="W228">
        <v>0.1</v>
      </c>
      <c r="X228" t="s">
        <v>195</v>
      </c>
      <c r="Y228" t="s">
        <v>330</v>
      </c>
      <c r="Z228" t="s">
        <v>3</v>
      </c>
      <c r="AA228" t="s">
        <v>9</v>
      </c>
      <c r="AB228">
        <f xml:space="preserve"> COUNTIF(Fact[[#This Row],[Partner.Partner Driven]], "Yes") / COUNTA(Fact[Opportunity ID])</f>
        <v>2.05761316872428E-3</v>
      </c>
      <c r="AC228">
        <f>IFERROR(INDEX(Fact[[#All],[Opportunity ID]],MATCH(X228,Fact[[#All],[salestage.Sales Stage]],0))/INDEX(Fact[[#All],[Opportunity ID]],MATCH(X227,Fact[[#All],[salestage.Sales Stage]],0)), "")</f>
        <v>1</v>
      </c>
    </row>
    <row r="229" spans="1:29" x14ac:dyDescent="0.3">
      <c r="A229" s="1">
        <v>42180.457638888889</v>
      </c>
      <c r="B229">
        <v>228</v>
      </c>
      <c r="C229">
        <v>1</v>
      </c>
      <c r="D229">
        <v>180</v>
      </c>
      <c r="E229">
        <v>22</v>
      </c>
      <c r="F229">
        <v>13</v>
      </c>
      <c r="G229">
        <v>188316</v>
      </c>
      <c r="H229" s="5">
        <v>18832</v>
      </c>
      <c r="I229" s="1">
        <v>16</v>
      </c>
      <c r="J229">
        <v>525</v>
      </c>
      <c r="K229">
        <v>2015</v>
      </c>
      <c r="L229">
        <v>6</v>
      </c>
      <c r="M229" t="s">
        <v>70</v>
      </c>
      <c r="N229" t="s">
        <v>13</v>
      </c>
      <c r="O229" t="s">
        <v>662</v>
      </c>
      <c r="P229">
        <v>21</v>
      </c>
      <c r="Q229">
        <v>1</v>
      </c>
      <c r="R229" t="s">
        <v>138</v>
      </c>
      <c r="S229" t="s">
        <v>13</v>
      </c>
      <c r="T229" t="s">
        <v>182</v>
      </c>
      <c r="U229" t="s">
        <v>84</v>
      </c>
      <c r="V229" t="s">
        <v>85</v>
      </c>
      <c r="W229">
        <v>0.1</v>
      </c>
      <c r="X229" t="s">
        <v>195</v>
      </c>
      <c r="Y229" t="s">
        <v>331</v>
      </c>
      <c r="Z229" t="s">
        <v>3</v>
      </c>
      <c r="AA229" t="s">
        <v>9</v>
      </c>
      <c r="AB229">
        <f xml:space="preserve"> COUNTIF(Fact[[#This Row],[Partner.Partner Driven]], "Yes") / COUNTA(Fact[Opportunity ID])</f>
        <v>0</v>
      </c>
      <c r="AC229">
        <f>IFERROR(INDEX(Fact[[#All],[Opportunity ID]],MATCH(X229,Fact[[#All],[salestage.Sales Stage]],0))/INDEX(Fact[[#All],[Opportunity ID]],MATCH(X228,Fact[[#All],[salestage.Sales Stage]],0)), "")</f>
        <v>1</v>
      </c>
    </row>
    <row r="230" spans="1:29" x14ac:dyDescent="0.3">
      <c r="A230" s="1">
        <v>42216.333333333336</v>
      </c>
      <c r="B230">
        <v>229</v>
      </c>
      <c r="C230">
        <v>1</v>
      </c>
      <c r="D230">
        <v>181</v>
      </c>
      <c r="E230">
        <v>62</v>
      </c>
      <c r="F230">
        <v>5</v>
      </c>
      <c r="G230">
        <v>4139381</v>
      </c>
      <c r="H230" s="5">
        <v>413938</v>
      </c>
      <c r="I230" s="1">
        <v>21</v>
      </c>
      <c r="J230">
        <v>525</v>
      </c>
      <c r="K230">
        <v>2015</v>
      </c>
      <c r="L230">
        <v>7</v>
      </c>
      <c r="M230" t="s">
        <v>69</v>
      </c>
      <c r="N230" t="s">
        <v>13</v>
      </c>
      <c r="O230" t="s">
        <v>663</v>
      </c>
      <c r="P230">
        <v>251</v>
      </c>
      <c r="Q230">
        <v>2</v>
      </c>
      <c r="R230" t="s">
        <v>143</v>
      </c>
      <c r="S230" t="s">
        <v>13</v>
      </c>
      <c r="T230" t="s">
        <v>174</v>
      </c>
      <c r="U230" t="s">
        <v>527</v>
      </c>
      <c r="V230" t="s">
        <v>72</v>
      </c>
      <c r="W230">
        <v>0.1</v>
      </c>
      <c r="X230" t="s">
        <v>195</v>
      </c>
      <c r="Y230" t="s">
        <v>332</v>
      </c>
      <c r="Z230" t="s">
        <v>13</v>
      </c>
      <c r="AA230" t="s">
        <v>9</v>
      </c>
      <c r="AB230">
        <f xml:space="preserve"> COUNTIF(Fact[[#This Row],[Partner.Partner Driven]], "Yes") / COUNTA(Fact[Opportunity ID])</f>
        <v>2.05761316872428E-3</v>
      </c>
      <c r="AC230">
        <f>IFERROR(INDEX(Fact[[#All],[Opportunity ID]],MATCH(X230,Fact[[#All],[salestage.Sales Stage]],0))/INDEX(Fact[[#All],[Opportunity ID]],MATCH(X229,Fact[[#All],[salestage.Sales Stage]],0)), "")</f>
        <v>1</v>
      </c>
    </row>
    <row r="231" spans="1:29" x14ac:dyDescent="0.3">
      <c r="A231" s="1">
        <v>42244.457638888889</v>
      </c>
      <c r="B231">
        <v>230</v>
      </c>
      <c r="C231">
        <v>2</v>
      </c>
      <c r="D231">
        <v>182</v>
      </c>
      <c r="E231">
        <v>22</v>
      </c>
      <c r="F231">
        <v>11</v>
      </c>
      <c r="G231">
        <v>747030</v>
      </c>
      <c r="H231" s="5">
        <v>149406</v>
      </c>
      <c r="I231" s="1">
        <v>4</v>
      </c>
      <c r="J231">
        <v>542</v>
      </c>
      <c r="K231">
        <v>2015</v>
      </c>
      <c r="L231">
        <v>8</v>
      </c>
      <c r="M231" t="s">
        <v>513</v>
      </c>
      <c r="N231" t="s">
        <v>13</v>
      </c>
      <c r="O231" t="s">
        <v>665</v>
      </c>
      <c r="P231">
        <v>58</v>
      </c>
      <c r="Q231">
        <v>1</v>
      </c>
      <c r="R231" t="s">
        <v>138</v>
      </c>
      <c r="S231" t="s">
        <v>13</v>
      </c>
      <c r="T231" t="s">
        <v>180</v>
      </c>
      <c r="U231" t="s">
        <v>84</v>
      </c>
      <c r="V231" t="s">
        <v>85</v>
      </c>
      <c r="W231">
        <v>0.2</v>
      </c>
      <c r="X231" t="s">
        <v>196</v>
      </c>
      <c r="Y231" t="s">
        <v>333</v>
      </c>
      <c r="Z231" t="s">
        <v>3</v>
      </c>
      <c r="AA231" t="s">
        <v>6</v>
      </c>
      <c r="AB231">
        <f xml:space="preserve"> COUNTIF(Fact[[#This Row],[Partner.Partner Driven]], "Yes") / COUNTA(Fact[Opportunity ID])</f>
        <v>0</v>
      </c>
      <c r="AC231">
        <f>IFERROR(INDEX(Fact[[#All],[Opportunity ID]],MATCH(X231,Fact[[#All],[salestage.Sales Stage]],0))/INDEX(Fact[[#All],[Opportunity ID]],MATCH(X230,Fact[[#All],[salestage.Sales Stage]],0)), "")</f>
        <v>0.5</v>
      </c>
    </row>
    <row r="232" spans="1:29" x14ac:dyDescent="0.3">
      <c r="A232" s="1">
        <v>42216.333333333336</v>
      </c>
      <c r="B232">
        <v>231</v>
      </c>
      <c r="C232">
        <v>1</v>
      </c>
      <c r="D232">
        <v>183</v>
      </c>
      <c r="E232">
        <v>4</v>
      </c>
      <c r="F232">
        <v>24</v>
      </c>
      <c r="G232">
        <v>9222310</v>
      </c>
      <c r="H232" s="5">
        <v>922231</v>
      </c>
      <c r="I232" s="1">
        <v>18</v>
      </c>
      <c r="J232">
        <v>469</v>
      </c>
      <c r="K232">
        <v>2015</v>
      </c>
      <c r="L232">
        <v>7</v>
      </c>
      <c r="M232" t="s">
        <v>69</v>
      </c>
      <c r="N232" t="s">
        <v>3</v>
      </c>
      <c r="O232" t="s">
        <v>666</v>
      </c>
      <c r="P232">
        <v>447</v>
      </c>
      <c r="Q232">
        <v>3</v>
      </c>
      <c r="R232" t="s">
        <v>9</v>
      </c>
      <c r="S232" t="s">
        <v>3</v>
      </c>
      <c r="T232" t="s">
        <v>193</v>
      </c>
      <c r="U232" t="s">
        <v>520</v>
      </c>
      <c r="V232" t="s">
        <v>72</v>
      </c>
      <c r="W232">
        <v>0.1</v>
      </c>
      <c r="X232" t="s">
        <v>195</v>
      </c>
      <c r="Y232" t="s">
        <v>334</v>
      </c>
      <c r="Z232" t="s">
        <v>13</v>
      </c>
      <c r="AA232" t="s">
        <v>9</v>
      </c>
      <c r="AB232">
        <f xml:space="preserve"> COUNTIF(Fact[[#This Row],[Partner.Partner Driven]], "Yes") / COUNTA(Fact[Opportunity ID])</f>
        <v>2.05761316872428E-3</v>
      </c>
      <c r="AC232">
        <f>IFERROR(INDEX(Fact[[#All],[Opportunity ID]],MATCH(X232,Fact[[#All],[salestage.Sales Stage]],0))/INDEX(Fact[[#All],[Opportunity ID]],MATCH(X231,Fact[[#All],[salestage.Sales Stage]],0)), "")</f>
        <v>2</v>
      </c>
    </row>
    <row r="233" spans="1:29" x14ac:dyDescent="0.3">
      <c r="A233" s="1">
        <v>42185.457638888889</v>
      </c>
      <c r="B233">
        <v>232</v>
      </c>
      <c r="C233">
        <v>1</v>
      </c>
      <c r="D233">
        <v>184</v>
      </c>
      <c r="E233">
        <v>63</v>
      </c>
      <c r="F233">
        <v>6</v>
      </c>
      <c r="G233">
        <v>5948279</v>
      </c>
      <c r="H233" s="5">
        <v>594828</v>
      </c>
      <c r="I233" s="1">
        <v>29</v>
      </c>
      <c r="J233">
        <v>427</v>
      </c>
      <c r="K233">
        <v>2015</v>
      </c>
      <c r="L233">
        <v>6</v>
      </c>
      <c r="M233" t="s">
        <v>70</v>
      </c>
      <c r="N233" t="s">
        <v>3</v>
      </c>
      <c r="O233" t="s">
        <v>667</v>
      </c>
      <c r="P233">
        <v>339</v>
      </c>
      <c r="Q233">
        <v>3</v>
      </c>
      <c r="R233" t="s">
        <v>9</v>
      </c>
      <c r="S233" t="s">
        <v>3</v>
      </c>
      <c r="T233" t="s">
        <v>175</v>
      </c>
      <c r="U233" t="s">
        <v>71</v>
      </c>
      <c r="V233" t="s">
        <v>72</v>
      </c>
      <c r="W233">
        <v>0.1</v>
      </c>
      <c r="X233" t="s">
        <v>195</v>
      </c>
      <c r="Y233" t="s">
        <v>335</v>
      </c>
      <c r="Z233" t="s">
        <v>3</v>
      </c>
      <c r="AA233" t="s">
        <v>6</v>
      </c>
      <c r="AB233">
        <f xml:space="preserve"> COUNTIF(Fact[[#This Row],[Partner.Partner Driven]], "Yes") / COUNTA(Fact[Opportunity ID])</f>
        <v>2.05761316872428E-3</v>
      </c>
      <c r="AC233">
        <f>IFERROR(INDEX(Fact[[#All],[Opportunity ID]],MATCH(X233,Fact[[#All],[salestage.Sales Stage]],0))/INDEX(Fact[[#All],[Opportunity ID]],MATCH(X232,Fact[[#All],[salestage.Sales Stage]],0)), "")</f>
        <v>1</v>
      </c>
    </row>
    <row r="234" spans="1:29" x14ac:dyDescent="0.3">
      <c r="A234" s="1">
        <v>42028.457638888889</v>
      </c>
      <c r="B234">
        <v>233</v>
      </c>
      <c r="C234">
        <v>4</v>
      </c>
      <c r="D234">
        <v>185</v>
      </c>
      <c r="E234">
        <v>64</v>
      </c>
      <c r="F234">
        <v>7</v>
      </c>
      <c r="G234">
        <v>11028079</v>
      </c>
      <c r="H234" s="5">
        <v>6616847</v>
      </c>
      <c r="I234" s="1">
        <v>20</v>
      </c>
      <c r="J234">
        <v>369</v>
      </c>
      <c r="K234">
        <v>2015</v>
      </c>
      <c r="L234">
        <v>1</v>
      </c>
      <c r="M234" t="s">
        <v>511</v>
      </c>
      <c r="N234" t="s">
        <v>3</v>
      </c>
      <c r="O234" t="s">
        <v>668</v>
      </c>
      <c r="P234">
        <v>476</v>
      </c>
      <c r="Q234">
        <v>3</v>
      </c>
      <c r="R234" t="s">
        <v>9</v>
      </c>
      <c r="S234" t="s">
        <v>3</v>
      </c>
      <c r="T234" t="s">
        <v>176</v>
      </c>
      <c r="U234" t="s">
        <v>88</v>
      </c>
      <c r="V234" t="s">
        <v>72</v>
      </c>
      <c r="W234">
        <v>0.6</v>
      </c>
      <c r="X234" t="s">
        <v>198</v>
      </c>
      <c r="Y234" t="s">
        <v>336</v>
      </c>
      <c r="Z234" t="s">
        <v>3</v>
      </c>
      <c r="AA234" t="s">
        <v>6</v>
      </c>
      <c r="AB234">
        <f xml:space="preserve"> COUNTIF(Fact[[#This Row],[Partner.Partner Driven]], "Yes") / COUNTA(Fact[Opportunity ID])</f>
        <v>2.05761316872428E-3</v>
      </c>
      <c r="AC234">
        <f>IFERROR(INDEX(Fact[[#All],[Opportunity ID]],MATCH(X234,Fact[[#All],[salestage.Sales Stage]],0))/INDEX(Fact[[#All],[Opportunity ID]],MATCH(X233,Fact[[#All],[salestage.Sales Stage]],0)), "")</f>
        <v>14</v>
      </c>
    </row>
    <row r="235" spans="1:29" x14ac:dyDescent="0.3">
      <c r="A235" s="1">
        <v>42216.333333333336</v>
      </c>
      <c r="B235">
        <v>234</v>
      </c>
      <c r="C235">
        <v>2</v>
      </c>
      <c r="D235">
        <v>186</v>
      </c>
      <c r="E235">
        <v>65</v>
      </c>
      <c r="F235">
        <v>22</v>
      </c>
      <c r="G235">
        <v>9927599</v>
      </c>
      <c r="H235" s="5">
        <v>1985520</v>
      </c>
      <c r="I235" s="1">
        <v>8</v>
      </c>
      <c r="J235">
        <v>449</v>
      </c>
      <c r="K235">
        <v>2015</v>
      </c>
      <c r="L235">
        <v>7</v>
      </c>
      <c r="M235" t="s">
        <v>69</v>
      </c>
      <c r="N235" t="s">
        <v>13</v>
      </c>
      <c r="O235" t="s">
        <v>669</v>
      </c>
      <c r="P235">
        <v>461</v>
      </c>
      <c r="Q235">
        <v>3</v>
      </c>
      <c r="R235" t="s">
        <v>9</v>
      </c>
      <c r="S235" t="s">
        <v>13</v>
      </c>
      <c r="T235" t="s">
        <v>191</v>
      </c>
      <c r="U235" t="s">
        <v>76</v>
      </c>
      <c r="V235" t="s">
        <v>72</v>
      </c>
      <c r="W235">
        <v>0.2</v>
      </c>
      <c r="X235" t="s">
        <v>196</v>
      </c>
      <c r="Y235" t="s">
        <v>337</v>
      </c>
      <c r="Z235" t="s">
        <v>13</v>
      </c>
      <c r="AA235" t="s">
        <v>6</v>
      </c>
      <c r="AB235">
        <f xml:space="preserve"> COUNTIF(Fact[[#This Row],[Partner.Partner Driven]], "Yes") / COUNTA(Fact[Opportunity ID])</f>
        <v>2.05761316872428E-3</v>
      </c>
      <c r="AC235">
        <f>IFERROR(INDEX(Fact[[#All],[Opportunity ID]],MATCH(X235,Fact[[#All],[salestage.Sales Stage]],0))/INDEX(Fact[[#All],[Opportunity ID]],MATCH(X234,Fact[[#All],[salestage.Sales Stage]],0)), "")</f>
        <v>3.5714285714285712E-2</v>
      </c>
    </row>
    <row r="236" spans="1:29" x14ac:dyDescent="0.3">
      <c r="A236" s="1">
        <v>42277.457638888889</v>
      </c>
      <c r="B236">
        <v>235</v>
      </c>
      <c r="C236">
        <v>1</v>
      </c>
      <c r="D236">
        <v>187</v>
      </c>
      <c r="E236">
        <v>8</v>
      </c>
      <c r="F236">
        <v>9</v>
      </c>
      <c r="G236">
        <v>6794643</v>
      </c>
      <c r="H236" s="5">
        <v>679464</v>
      </c>
      <c r="I236" s="1">
        <v>6</v>
      </c>
      <c r="J236">
        <v>512</v>
      </c>
      <c r="K236">
        <v>2015</v>
      </c>
      <c r="L236">
        <v>9</v>
      </c>
      <c r="M236" t="s">
        <v>507</v>
      </c>
      <c r="N236" t="s">
        <v>8</v>
      </c>
      <c r="O236" t="s">
        <v>670</v>
      </c>
      <c r="P236">
        <v>379</v>
      </c>
      <c r="Q236">
        <v>3</v>
      </c>
      <c r="R236" t="s">
        <v>9</v>
      </c>
      <c r="S236" t="s">
        <v>8</v>
      </c>
      <c r="T236" t="s">
        <v>178</v>
      </c>
      <c r="U236" t="s">
        <v>526</v>
      </c>
      <c r="V236" t="s">
        <v>72</v>
      </c>
      <c r="W236">
        <v>0.1</v>
      </c>
      <c r="X236" t="s">
        <v>195</v>
      </c>
      <c r="Y236" t="s">
        <v>338</v>
      </c>
      <c r="Z236" t="s">
        <v>13</v>
      </c>
      <c r="AA236" t="s">
        <v>9</v>
      </c>
      <c r="AB236">
        <f xml:space="preserve"> COUNTIF(Fact[[#This Row],[Partner.Partner Driven]], "Yes") / COUNTA(Fact[Opportunity ID])</f>
        <v>2.05761316872428E-3</v>
      </c>
      <c r="AC236">
        <f>IFERROR(INDEX(Fact[[#All],[Opportunity ID]],MATCH(X236,Fact[[#All],[salestage.Sales Stage]],0))/INDEX(Fact[[#All],[Opportunity ID]],MATCH(X235,Fact[[#All],[salestage.Sales Stage]],0)), "")</f>
        <v>2</v>
      </c>
    </row>
    <row r="237" spans="1:29" x14ac:dyDescent="0.3">
      <c r="A237" s="1">
        <v>42034.457638888889</v>
      </c>
      <c r="B237">
        <v>236</v>
      </c>
      <c r="C237">
        <v>4</v>
      </c>
      <c r="D237">
        <v>33</v>
      </c>
      <c r="E237">
        <v>8</v>
      </c>
      <c r="F237">
        <v>1</v>
      </c>
      <c r="G237">
        <v>9722121</v>
      </c>
      <c r="H237" s="5">
        <v>5833273</v>
      </c>
      <c r="I237" s="1">
        <v>19</v>
      </c>
      <c r="J237">
        <v>376</v>
      </c>
      <c r="K237">
        <v>2015</v>
      </c>
      <c r="L237">
        <v>1</v>
      </c>
      <c r="M237" t="s">
        <v>511</v>
      </c>
      <c r="N237" t="s">
        <v>3</v>
      </c>
      <c r="O237" t="s">
        <v>671</v>
      </c>
      <c r="P237">
        <v>457</v>
      </c>
      <c r="Q237">
        <v>3</v>
      </c>
      <c r="R237" t="s">
        <v>9</v>
      </c>
      <c r="S237" t="s">
        <v>3</v>
      </c>
      <c r="T237" t="s">
        <v>170</v>
      </c>
      <c r="U237" t="s">
        <v>526</v>
      </c>
      <c r="V237" t="s">
        <v>72</v>
      </c>
      <c r="W237">
        <v>0.6</v>
      </c>
      <c r="X237" t="s">
        <v>198</v>
      </c>
      <c r="Y237" t="s">
        <v>40</v>
      </c>
      <c r="Z237" t="s">
        <v>13</v>
      </c>
      <c r="AA237" t="s">
        <v>4</v>
      </c>
      <c r="AB237">
        <f xml:space="preserve"> COUNTIF(Fact[[#This Row],[Partner.Partner Driven]], "Yes") / COUNTA(Fact[Opportunity ID])</f>
        <v>2.05761316872428E-3</v>
      </c>
      <c r="AC237">
        <f>IFERROR(INDEX(Fact[[#All],[Opportunity ID]],MATCH(X237,Fact[[#All],[salestage.Sales Stage]],0))/INDEX(Fact[[#All],[Opportunity ID]],MATCH(X236,Fact[[#All],[salestage.Sales Stage]],0)), "")</f>
        <v>14</v>
      </c>
    </row>
    <row r="238" spans="1:29" x14ac:dyDescent="0.3">
      <c r="A238" s="1">
        <v>42369.457638888889</v>
      </c>
      <c r="B238">
        <v>237</v>
      </c>
      <c r="C238">
        <v>1</v>
      </c>
      <c r="D238">
        <v>188</v>
      </c>
      <c r="E238">
        <v>8</v>
      </c>
      <c r="F238">
        <v>21</v>
      </c>
      <c r="G238">
        <v>7759466</v>
      </c>
      <c r="H238" s="5">
        <v>775947</v>
      </c>
      <c r="I238" s="1">
        <v>18</v>
      </c>
      <c r="J238">
        <v>439</v>
      </c>
      <c r="K238">
        <v>2015</v>
      </c>
      <c r="L238">
        <v>12</v>
      </c>
      <c r="M238" t="s">
        <v>508</v>
      </c>
      <c r="N238" t="s">
        <v>13</v>
      </c>
      <c r="O238" t="s">
        <v>672</v>
      </c>
      <c r="P238">
        <v>410</v>
      </c>
      <c r="Q238">
        <v>3</v>
      </c>
      <c r="R238" t="s">
        <v>9</v>
      </c>
      <c r="S238" t="s">
        <v>13</v>
      </c>
      <c r="T238" t="s">
        <v>190</v>
      </c>
      <c r="U238" t="s">
        <v>526</v>
      </c>
      <c r="V238" t="s">
        <v>72</v>
      </c>
      <c r="W238">
        <v>0.1</v>
      </c>
      <c r="X238" t="s">
        <v>195</v>
      </c>
      <c r="Y238" t="s">
        <v>339</v>
      </c>
      <c r="Z238" t="s">
        <v>13</v>
      </c>
      <c r="AA238" t="s">
        <v>4</v>
      </c>
      <c r="AB238">
        <f xml:space="preserve"> COUNTIF(Fact[[#This Row],[Partner.Partner Driven]], "Yes") / COUNTA(Fact[Opportunity ID])</f>
        <v>2.05761316872428E-3</v>
      </c>
      <c r="AC238">
        <f>IFERROR(INDEX(Fact[[#All],[Opportunity ID]],MATCH(X238,Fact[[#All],[salestage.Sales Stage]],0))/INDEX(Fact[[#All],[Opportunity ID]],MATCH(X237,Fact[[#All],[salestage.Sales Stage]],0)), "")</f>
        <v>7.1428571428571425E-2</v>
      </c>
    </row>
    <row r="239" spans="1:29" x14ac:dyDescent="0.3">
      <c r="A239" s="1">
        <v>42369.457638888889</v>
      </c>
      <c r="B239">
        <v>238</v>
      </c>
      <c r="C239">
        <v>1</v>
      </c>
      <c r="D239">
        <v>189</v>
      </c>
      <c r="E239">
        <v>8</v>
      </c>
      <c r="F239">
        <v>14</v>
      </c>
      <c r="G239">
        <v>7197080</v>
      </c>
      <c r="H239" s="5">
        <v>719708</v>
      </c>
      <c r="I239" s="1">
        <v>14</v>
      </c>
      <c r="J239">
        <v>657</v>
      </c>
      <c r="K239">
        <v>2015</v>
      </c>
      <c r="L239">
        <v>12</v>
      </c>
      <c r="M239" t="s">
        <v>508</v>
      </c>
      <c r="N239" t="s">
        <v>13</v>
      </c>
      <c r="O239" t="s">
        <v>673</v>
      </c>
      <c r="P239">
        <v>392</v>
      </c>
      <c r="Q239">
        <v>3</v>
      </c>
      <c r="R239" t="s">
        <v>9</v>
      </c>
      <c r="S239" t="s">
        <v>13</v>
      </c>
      <c r="T239" t="s">
        <v>183</v>
      </c>
      <c r="U239" t="s">
        <v>526</v>
      </c>
      <c r="V239" t="s">
        <v>72</v>
      </c>
      <c r="W239">
        <v>0.1</v>
      </c>
      <c r="X239" t="s">
        <v>195</v>
      </c>
      <c r="Y239" t="s">
        <v>340</v>
      </c>
      <c r="Z239" t="s">
        <v>3</v>
      </c>
      <c r="AA239" t="s">
        <v>4</v>
      </c>
      <c r="AB239">
        <f xml:space="preserve"> COUNTIF(Fact[[#This Row],[Partner.Partner Driven]], "Yes") / COUNTA(Fact[Opportunity ID])</f>
        <v>2.05761316872428E-3</v>
      </c>
      <c r="AC239">
        <f>IFERROR(INDEX(Fact[[#All],[Opportunity ID]],MATCH(X239,Fact[[#All],[salestage.Sales Stage]],0))/INDEX(Fact[[#All],[Opportunity ID]],MATCH(X238,Fact[[#All],[salestage.Sales Stage]],0)), "")</f>
        <v>1</v>
      </c>
    </row>
    <row r="240" spans="1:29" x14ac:dyDescent="0.3">
      <c r="A240" s="1">
        <v>42005.457638888889</v>
      </c>
      <c r="B240">
        <v>239</v>
      </c>
      <c r="C240">
        <v>5</v>
      </c>
      <c r="D240">
        <v>190</v>
      </c>
      <c r="E240">
        <v>8</v>
      </c>
      <c r="F240">
        <v>6</v>
      </c>
      <c r="G240">
        <v>3765339</v>
      </c>
      <c r="H240" s="5">
        <v>3012271</v>
      </c>
      <c r="I240" s="1">
        <v>1</v>
      </c>
      <c r="J240">
        <v>365</v>
      </c>
      <c r="K240">
        <v>2015</v>
      </c>
      <c r="L240">
        <v>1</v>
      </c>
      <c r="M240" t="s">
        <v>511</v>
      </c>
      <c r="N240" t="s">
        <v>3</v>
      </c>
      <c r="O240" t="s">
        <v>674</v>
      </c>
      <c r="P240">
        <v>232</v>
      </c>
      <c r="Q240">
        <v>2</v>
      </c>
      <c r="R240" t="s">
        <v>143</v>
      </c>
      <c r="S240" t="s">
        <v>3</v>
      </c>
      <c r="T240" t="s">
        <v>175</v>
      </c>
      <c r="U240" t="s">
        <v>526</v>
      </c>
      <c r="V240" t="s">
        <v>72</v>
      </c>
      <c r="W240">
        <v>0.8</v>
      </c>
      <c r="X240" t="s">
        <v>199</v>
      </c>
      <c r="Y240" t="s">
        <v>341</v>
      </c>
      <c r="Z240" t="s">
        <v>3</v>
      </c>
      <c r="AA240" t="s">
        <v>9</v>
      </c>
      <c r="AB240">
        <f xml:space="preserve"> COUNTIF(Fact[[#This Row],[Partner.Partner Driven]], "Yes") / COUNTA(Fact[Opportunity ID])</f>
        <v>2.05761316872428E-3</v>
      </c>
      <c r="AC240">
        <f>IFERROR(INDEX(Fact[[#All],[Opportunity ID]],MATCH(X240,Fact[[#All],[salestage.Sales Stage]],0))/INDEX(Fact[[#All],[Opportunity ID]],MATCH(X239,Fact[[#All],[salestage.Sales Stage]],0)), "")</f>
        <v>27</v>
      </c>
    </row>
    <row r="241" spans="1:29" x14ac:dyDescent="0.3">
      <c r="A241" s="1">
        <v>42217.457638888889</v>
      </c>
      <c r="B241">
        <v>240</v>
      </c>
      <c r="C241">
        <v>2</v>
      </c>
      <c r="D241">
        <v>191</v>
      </c>
      <c r="E241">
        <v>22</v>
      </c>
      <c r="F241">
        <v>6</v>
      </c>
      <c r="G241">
        <v>1301968</v>
      </c>
      <c r="H241" s="5">
        <v>260394</v>
      </c>
      <c r="I241" s="1">
        <v>1</v>
      </c>
      <c r="J241">
        <v>457</v>
      </c>
      <c r="K241">
        <v>2015</v>
      </c>
      <c r="L241">
        <v>8</v>
      </c>
      <c r="M241" t="s">
        <v>513</v>
      </c>
      <c r="N241" t="s">
        <v>8</v>
      </c>
      <c r="O241" t="s">
        <v>676</v>
      </c>
      <c r="P241">
        <v>87</v>
      </c>
      <c r="Q241">
        <v>1</v>
      </c>
      <c r="R241" t="s">
        <v>138</v>
      </c>
      <c r="S241" t="s">
        <v>8</v>
      </c>
      <c r="T241" t="s">
        <v>175</v>
      </c>
      <c r="U241" t="s">
        <v>84</v>
      </c>
      <c r="V241" t="s">
        <v>85</v>
      </c>
      <c r="W241">
        <v>0.2</v>
      </c>
      <c r="X241" t="s">
        <v>196</v>
      </c>
      <c r="Y241" t="s">
        <v>342</v>
      </c>
      <c r="Z241" t="s">
        <v>3</v>
      </c>
      <c r="AA241" t="s">
        <v>9</v>
      </c>
      <c r="AB241">
        <f xml:space="preserve"> COUNTIF(Fact[[#This Row],[Partner.Partner Driven]], "Yes") / COUNTA(Fact[Opportunity ID])</f>
        <v>0</v>
      </c>
      <c r="AC241">
        <f>IFERROR(INDEX(Fact[[#All],[Opportunity ID]],MATCH(X241,Fact[[#All],[salestage.Sales Stage]],0))/INDEX(Fact[[#All],[Opportunity ID]],MATCH(X240,Fact[[#All],[salestage.Sales Stage]],0)), "")</f>
        <v>1.8518518518518517E-2</v>
      </c>
    </row>
    <row r="242" spans="1:29" x14ac:dyDescent="0.3">
      <c r="A242" s="1">
        <v>42217.457638888889</v>
      </c>
      <c r="B242">
        <v>241</v>
      </c>
      <c r="C242">
        <v>2</v>
      </c>
      <c r="D242">
        <v>192</v>
      </c>
      <c r="E242">
        <v>22</v>
      </c>
      <c r="F242">
        <v>23</v>
      </c>
      <c r="G242">
        <v>3740355</v>
      </c>
      <c r="H242" s="5">
        <v>748071</v>
      </c>
      <c r="I242" s="1">
        <v>1</v>
      </c>
      <c r="J242">
        <v>396</v>
      </c>
      <c r="K242">
        <v>2015</v>
      </c>
      <c r="L242">
        <v>8</v>
      </c>
      <c r="M242" t="s">
        <v>513</v>
      </c>
      <c r="N242" t="s">
        <v>3</v>
      </c>
      <c r="O242" t="s">
        <v>677</v>
      </c>
      <c r="P242">
        <v>231</v>
      </c>
      <c r="Q242">
        <v>2</v>
      </c>
      <c r="R242" t="s">
        <v>143</v>
      </c>
      <c r="S242" t="s">
        <v>3</v>
      </c>
      <c r="T242" t="s">
        <v>192</v>
      </c>
      <c r="U242" t="s">
        <v>84</v>
      </c>
      <c r="V242" t="s">
        <v>85</v>
      </c>
      <c r="W242">
        <v>0.2</v>
      </c>
      <c r="X242" t="s">
        <v>196</v>
      </c>
      <c r="Y242" t="s">
        <v>343</v>
      </c>
      <c r="Z242" t="s">
        <v>3</v>
      </c>
      <c r="AA242" t="s">
        <v>9</v>
      </c>
      <c r="AB242">
        <f xml:space="preserve"> COUNTIF(Fact[[#This Row],[Partner.Partner Driven]], "Yes") / COUNTA(Fact[Opportunity ID])</f>
        <v>0</v>
      </c>
      <c r="AC242">
        <f>IFERROR(INDEX(Fact[[#All],[Opportunity ID]],MATCH(X242,Fact[[#All],[salestage.Sales Stage]],0))/INDEX(Fact[[#All],[Opportunity ID]],MATCH(X241,Fact[[#All],[salestage.Sales Stage]],0)), "")</f>
        <v>1</v>
      </c>
    </row>
    <row r="243" spans="1:29" x14ac:dyDescent="0.3">
      <c r="A243" s="1">
        <v>42181.457638888889</v>
      </c>
      <c r="B243">
        <v>242</v>
      </c>
      <c r="C243">
        <v>1</v>
      </c>
      <c r="D243">
        <v>193</v>
      </c>
      <c r="E243">
        <v>22</v>
      </c>
      <c r="F243">
        <v>5</v>
      </c>
      <c r="G243">
        <v>2154078</v>
      </c>
      <c r="H243" s="5">
        <v>215408</v>
      </c>
      <c r="I243" s="1">
        <v>5</v>
      </c>
      <c r="J243">
        <v>386</v>
      </c>
      <c r="K243">
        <v>2015</v>
      </c>
      <c r="L243">
        <v>6</v>
      </c>
      <c r="M243" t="s">
        <v>70</v>
      </c>
      <c r="N243" t="s">
        <v>3</v>
      </c>
      <c r="O243" t="s">
        <v>678</v>
      </c>
      <c r="P243">
        <v>142</v>
      </c>
      <c r="Q243">
        <v>1</v>
      </c>
      <c r="R243" t="s">
        <v>138</v>
      </c>
      <c r="S243" t="s">
        <v>3</v>
      </c>
      <c r="T243" t="s">
        <v>174</v>
      </c>
      <c r="U243" t="s">
        <v>84</v>
      </c>
      <c r="V243" t="s">
        <v>85</v>
      </c>
      <c r="W243">
        <v>0.1</v>
      </c>
      <c r="X243" t="s">
        <v>195</v>
      </c>
      <c r="Y243" t="s">
        <v>344</v>
      </c>
      <c r="Z243" t="s">
        <v>8</v>
      </c>
      <c r="AA243" t="s">
        <v>4</v>
      </c>
      <c r="AB243">
        <f xml:space="preserve"> COUNTIF(Fact[[#This Row],[Partner.Partner Driven]], "Yes") / COUNTA(Fact[Opportunity ID])</f>
        <v>0</v>
      </c>
      <c r="AC243">
        <f>IFERROR(INDEX(Fact[[#All],[Opportunity ID]],MATCH(X243,Fact[[#All],[salestage.Sales Stage]],0))/INDEX(Fact[[#All],[Opportunity ID]],MATCH(X242,Fact[[#All],[salestage.Sales Stage]],0)), "")</f>
        <v>2</v>
      </c>
    </row>
    <row r="244" spans="1:29" x14ac:dyDescent="0.3">
      <c r="A244" s="1">
        <v>42338.457638888889</v>
      </c>
      <c r="B244">
        <v>243</v>
      </c>
      <c r="C244">
        <v>1</v>
      </c>
      <c r="D244">
        <v>194</v>
      </c>
      <c r="E244">
        <v>66</v>
      </c>
      <c r="F244">
        <v>19</v>
      </c>
      <c r="G244">
        <v>5915290</v>
      </c>
      <c r="H244" s="5">
        <v>591529</v>
      </c>
      <c r="I244" s="1">
        <v>27</v>
      </c>
      <c r="J244">
        <v>368</v>
      </c>
      <c r="K244">
        <v>2015</v>
      </c>
      <c r="L244">
        <v>11</v>
      </c>
      <c r="M244" t="s">
        <v>506</v>
      </c>
      <c r="N244" t="s">
        <v>3</v>
      </c>
      <c r="O244" t="s">
        <v>679</v>
      </c>
      <c r="P244">
        <v>336</v>
      </c>
      <c r="Q244">
        <v>3</v>
      </c>
      <c r="R244" t="s">
        <v>9</v>
      </c>
      <c r="S244" t="s">
        <v>3</v>
      </c>
      <c r="T244" t="s">
        <v>188</v>
      </c>
      <c r="U244" t="s">
        <v>540</v>
      </c>
      <c r="V244" t="s">
        <v>72</v>
      </c>
      <c r="W244">
        <v>0.1</v>
      </c>
      <c r="X244" t="s">
        <v>195</v>
      </c>
      <c r="Y244" t="s">
        <v>345</v>
      </c>
      <c r="Z244" t="s">
        <v>13</v>
      </c>
      <c r="AA244" t="s">
        <v>9</v>
      </c>
      <c r="AB244">
        <f xml:space="preserve"> COUNTIF(Fact[[#This Row],[Partner.Partner Driven]], "Yes") / COUNTA(Fact[Opportunity ID])</f>
        <v>2.05761316872428E-3</v>
      </c>
      <c r="AC244">
        <f>IFERROR(INDEX(Fact[[#All],[Opportunity ID]],MATCH(X244,Fact[[#All],[salestage.Sales Stage]],0))/INDEX(Fact[[#All],[Opportunity ID]],MATCH(X243,Fact[[#All],[salestage.Sales Stage]],0)), "")</f>
        <v>1</v>
      </c>
    </row>
    <row r="245" spans="1:29" x14ac:dyDescent="0.3">
      <c r="A245" s="1">
        <v>42369.457638888889</v>
      </c>
      <c r="B245">
        <v>244</v>
      </c>
      <c r="C245">
        <v>1</v>
      </c>
      <c r="D245">
        <v>195</v>
      </c>
      <c r="E245">
        <v>18</v>
      </c>
      <c r="F245">
        <v>24</v>
      </c>
      <c r="G245">
        <v>5672329</v>
      </c>
      <c r="H245" s="5">
        <v>567233</v>
      </c>
      <c r="I245" s="1">
        <v>13</v>
      </c>
      <c r="J245">
        <v>413</v>
      </c>
      <c r="K245">
        <v>2015</v>
      </c>
      <c r="L245">
        <v>12</v>
      </c>
      <c r="M245" t="s">
        <v>508</v>
      </c>
      <c r="N245" t="s">
        <v>3</v>
      </c>
      <c r="O245" t="s">
        <v>680</v>
      </c>
      <c r="P245">
        <v>326</v>
      </c>
      <c r="Q245">
        <v>3</v>
      </c>
      <c r="R245" t="s">
        <v>9</v>
      </c>
      <c r="S245" t="s">
        <v>3</v>
      </c>
      <c r="T245" t="s">
        <v>193</v>
      </c>
      <c r="U245" t="s">
        <v>528</v>
      </c>
      <c r="V245" t="s">
        <v>72</v>
      </c>
      <c r="W245">
        <v>0.1</v>
      </c>
      <c r="X245" t="s">
        <v>195</v>
      </c>
      <c r="Y245" t="s">
        <v>346</v>
      </c>
      <c r="Z245" t="s">
        <v>3</v>
      </c>
      <c r="AA245" t="s">
        <v>6</v>
      </c>
      <c r="AB245">
        <f xml:space="preserve"> COUNTIF(Fact[[#This Row],[Partner.Partner Driven]], "Yes") / COUNTA(Fact[Opportunity ID])</f>
        <v>2.05761316872428E-3</v>
      </c>
      <c r="AC245">
        <f>IFERROR(INDEX(Fact[[#All],[Opportunity ID]],MATCH(X245,Fact[[#All],[salestage.Sales Stage]],0))/INDEX(Fact[[#All],[Opportunity ID]],MATCH(X244,Fact[[#All],[salestage.Sales Stage]],0)), "")</f>
        <v>1</v>
      </c>
    </row>
    <row r="246" spans="1:29" x14ac:dyDescent="0.3">
      <c r="A246" s="1">
        <v>42124.457638888889</v>
      </c>
      <c r="B246">
        <v>245</v>
      </c>
      <c r="C246">
        <v>2</v>
      </c>
      <c r="D246">
        <v>196</v>
      </c>
      <c r="E246">
        <v>67</v>
      </c>
      <c r="F246">
        <v>13</v>
      </c>
      <c r="G246">
        <v>5769975</v>
      </c>
      <c r="H246" s="5">
        <v>1153995</v>
      </c>
      <c r="I246" s="1">
        <v>4</v>
      </c>
      <c r="J246">
        <v>481</v>
      </c>
      <c r="K246">
        <v>2015</v>
      </c>
      <c r="L246">
        <v>4</v>
      </c>
      <c r="M246" t="s">
        <v>510</v>
      </c>
      <c r="N246" t="s">
        <v>13</v>
      </c>
      <c r="O246" t="s">
        <v>681</v>
      </c>
      <c r="P246">
        <v>332</v>
      </c>
      <c r="Q246">
        <v>3</v>
      </c>
      <c r="R246" t="s">
        <v>9</v>
      </c>
      <c r="S246" t="s">
        <v>13</v>
      </c>
      <c r="T246" t="s">
        <v>182</v>
      </c>
      <c r="U246" t="s">
        <v>120</v>
      </c>
      <c r="V246" t="s">
        <v>72</v>
      </c>
      <c r="W246">
        <v>0.2</v>
      </c>
      <c r="X246" t="s">
        <v>196</v>
      </c>
      <c r="Y246" t="s">
        <v>347</v>
      </c>
      <c r="Z246" t="s">
        <v>3</v>
      </c>
      <c r="AA246" t="s">
        <v>6</v>
      </c>
      <c r="AB246">
        <f xml:space="preserve"> COUNTIF(Fact[[#This Row],[Partner.Partner Driven]], "Yes") / COUNTA(Fact[Opportunity ID])</f>
        <v>2.05761316872428E-3</v>
      </c>
      <c r="AC246">
        <f>IFERROR(INDEX(Fact[[#All],[Opportunity ID]],MATCH(X246,Fact[[#All],[salestage.Sales Stage]],0))/INDEX(Fact[[#All],[Opportunity ID]],MATCH(X245,Fact[[#All],[salestage.Sales Stage]],0)), "")</f>
        <v>0.5</v>
      </c>
    </row>
    <row r="247" spans="1:29" x14ac:dyDescent="0.3">
      <c r="A247" s="1">
        <v>42277.457638888889</v>
      </c>
      <c r="B247">
        <v>246</v>
      </c>
      <c r="C247">
        <v>1</v>
      </c>
      <c r="D247">
        <v>197</v>
      </c>
      <c r="E247">
        <v>8</v>
      </c>
      <c r="F247">
        <v>22</v>
      </c>
      <c r="G247">
        <v>328421</v>
      </c>
      <c r="H247" s="5">
        <v>32842</v>
      </c>
      <c r="I247" s="1">
        <v>4</v>
      </c>
      <c r="J247">
        <v>634</v>
      </c>
      <c r="K247">
        <v>2015</v>
      </c>
      <c r="L247">
        <v>9</v>
      </c>
      <c r="M247" t="s">
        <v>507</v>
      </c>
      <c r="N247" t="s">
        <v>3</v>
      </c>
      <c r="O247" t="s">
        <v>682</v>
      </c>
      <c r="P247">
        <v>31</v>
      </c>
      <c r="Q247">
        <v>1</v>
      </c>
      <c r="R247" t="s">
        <v>138</v>
      </c>
      <c r="S247" t="s">
        <v>3</v>
      </c>
      <c r="T247" t="s">
        <v>191</v>
      </c>
      <c r="U247" t="s">
        <v>526</v>
      </c>
      <c r="V247" t="s">
        <v>72</v>
      </c>
      <c r="W247">
        <v>0.1</v>
      </c>
      <c r="X247" t="s">
        <v>195</v>
      </c>
      <c r="Y247" t="s">
        <v>348</v>
      </c>
      <c r="Z247" t="s">
        <v>13</v>
      </c>
      <c r="AA247" t="s">
        <v>6</v>
      </c>
      <c r="AB247">
        <f xml:space="preserve"> COUNTIF(Fact[[#This Row],[Partner.Partner Driven]], "Yes") / COUNTA(Fact[Opportunity ID])</f>
        <v>2.05761316872428E-3</v>
      </c>
      <c r="AC247">
        <f>IFERROR(INDEX(Fact[[#All],[Opportunity ID]],MATCH(X247,Fact[[#All],[salestage.Sales Stage]],0))/INDEX(Fact[[#All],[Opportunity ID]],MATCH(X246,Fact[[#All],[salestage.Sales Stage]],0)), "")</f>
        <v>2</v>
      </c>
    </row>
    <row r="248" spans="1:29" x14ac:dyDescent="0.3">
      <c r="A248" s="1">
        <v>42217.457638888889</v>
      </c>
      <c r="B248">
        <v>247</v>
      </c>
      <c r="C248">
        <v>1</v>
      </c>
      <c r="D248">
        <v>198</v>
      </c>
      <c r="E248">
        <v>8</v>
      </c>
      <c r="F248">
        <v>25</v>
      </c>
      <c r="G248">
        <v>10178400</v>
      </c>
      <c r="H248" s="5">
        <v>1017840</v>
      </c>
      <c r="I248" s="1">
        <v>1</v>
      </c>
      <c r="J248">
        <v>365</v>
      </c>
      <c r="K248">
        <v>2015</v>
      </c>
      <c r="L248">
        <v>8</v>
      </c>
      <c r="M248" t="s">
        <v>513</v>
      </c>
      <c r="N248" t="s">
        <v>3</v>
      </c>
      <c r="O248" t="s">
        <v>683</v>
      </c>
      <c r="P248">
        <v>468</v>
      </c>
      <c r="Q248">
        <v>3</v>
      </c>
      <c r="R248" t="s">
        <v>9</v>
      </c>
      <c r="S248" t="s">
        <v>3</v>
      </c>
      <c r="T248" t="s">
        <v>194</v>
      </c>
      <c r="U248" t="s">
        <v>526</v>
      </c>
      <c r="V248" t="s">
        <v>72</v>
      </c>
      <c r="W248">
        <v>0.1</v>
      </c>
      <c r="X248" t="s">
        <v>195</v>
      </c>
      <c r="Y248" t="s">
        <v>349</v>
      </c>
      <c r="Z248" t="s">
        <v>3</v>
      </c>
      <c r="AA248" t="s">
        <v>4</v>
      </c>
      <c r="AB248">
        <f xml:space="preserve"> COUNTIF(Fact[[#This Row],[Partner.Partner Driven]], "Yes") / COUNTA(Fact[Opportunity ID])</f>
        <v>2.05761316872428E-3</v>
      </c>
      <c r="AC248">
        <f>IFERROR(INDEX(Fact[[#All],[Opportunity ID]],MATCH(X248,Fact[[#All],[salestage.Sales Stage]],0))/INDEX(Fact[[#All],[Opportunity ID]],MATCH(X247,Fact[[#All],[salestage.Sales Stage]],0)), "")</f>
        <v>1</v>
      </c>
    </row>
    <row r="249" spans="1:29" x14ac:dyDescent="0.3">
      <c r="A249" s="1">
        <v>42078.457638888889</v>
      </c>
      <c r="B249">
        <v>248</v>
      </c>
      <c r="C249">
        <v>4</v>
      </c>
      <c r="D249">
        <v>54</v>
      </c>
      <c r="E249">
        <v>22</v>
      </c>
      <c r="F249">
        <v>13</v>
      </c>
      <c r="G249">
        <v>1481088</v>
      </c>
      <c r="H249" s="5">
        <v>888653</v>
      </c>
      <c r="I249" s="1">
        <v>9</v>
      </c>
      <c r="J249">
        <v>399</v>
      </c>
      <c r="K249">
        <v>2015</v>
      </c>
      <c r="L249">
        <v>3</v>
      </c>
      <c r="M249" t="s">
        <v>512</v>
      </c>
      <c r="N249" t="s">
        <v>8</v>
      </c>
      <c r="O249" t="s">
        <v>684</v>
      </c>
      <c r="P249">
        <v>102</v>
      </c>
      <c r="Q249">
        <v>1</v>
      </c>
      <c r="R249" t="s">
        <v>138</v>
      </c>
      <c r="S249" t="s">
        <v>8</v>
      </c>
      <c r="T249" t="s">
        <v>182</v>
      </c>
      <c r="U249" t="s">
        <v>84</v>
      </c>
      <c r="V249" t="s">
        <v>85</v>
      </c>
      <c r="W249">
        <v>0.6</v>
      </c>
      <c r="X249" t="s">
        <v>198</v>
      </c>
      <c r="Y249" t="s">
        <v>205</v>
      </c>
      <c r="Z249" t="s">
        <v>3</v>
      </c>
      <c r="AA249" t="s">
        <v>9</v>
      </c>
      <c r="AB249">
        <f xml:space="preserve"> COUNTIF(Fact[[#This Row],[Partner.Partner Driven]], "Yes") / COUNTA(Fact[Opportunity ID])</f>
        <v>0</v>
      </c>
      <c r="AC249">
        <f>IFERROR(INDEX(Fact[[#All],[Opportunity ID]],MATCH(X249,Fact[[#All],[salestage.Sales Stage]],0))/INDEX(Fact[[#All],[Opportunity ID]],MATCH(X248,Fact[[#All],[salestage.Sales Stage]],0)), "")</f>
        <v>14</v>
      </c>
    </row>
    <row r="250" spans="1:29" x14ac:dyDescent="0.3">
      <c r="A250" s="1">
        <v>42156.457638888889</v>
      </c>
      <c r="B250">
        <v>249</v>
      </c>
      <c r="C250">
        <v>1</v>
      </c>
      <c r="D250">
        <v>199</v>
      </c>
      <c r="E250">
        <v>8</v>
      </c>
      <c r="F250">
        <v>5</v>
      </c>
      <c r="G250">
        <v>10937493</v>
      </c>
      <c r="H250" s="5">
        <v>1093749</v>
      </c>
      <c r="I250" s="1">
        <v>1</v>
      </c>
      <c r="J250">
        <v>516</v>
      </c>
      <c r="K250">
        <v>2015</v>
      </c>
      <c r="L250">
        <v>6</v>
      </c>
      <c r="M250" t="s">
        <v>70</v>
      </c>
      <c r="N250" t="s">
        <v>13</v>
      </c>
      <c r="O250" t="s">
        <v>685</v>
      </c>
      <c r="P250">
        <v>474</v>
      </c>
      <c r="Q250">
        <v>3</v>
      </c>
      <c r="R250" t="s">
        <v>9</v>
      </c>
      <c r="S250" t="s">
        <v>13</v>
      </c>
      <c r="T250" t="s">
        <v>174</v>
      </c>
      <c r="U250" t="s">
        <v>526</v>
      </c>
      <c r="V250" t="s">
        <v>72</v>
      </c>
      <c r="W250">
        <v>0.1</v>
      </c>
      <c r="X250" t="s">
        <v>195</v>
      </c>
      <c r="Y250" t="s">
        <v>350</v>
      </c>
      <c r="Z250" t="s">
        <v>3</v>
      </c>
      <c r="AA250" t="s">
        <v>9</v>
      </c>
      <c r="AB250">
        <f xml:space="preserve"> COUNTIF(Fact[[#This Row],[Partner.Partner Driven]], "Yes") / COUNTA(Fact[Opportunity ID])</f>
        <v>2.05761316872428E-3</v>
      </c>
      <c r="AC250">
        <f>IFERROR(INDEX(Fact[[#All],[Opportunity ID]],MATCH(X250,Fact[[#All],[salestage.Sales Stage]],0))/INDEX(Fact[[#All],[Opportunity ID]],MATCH(X249,Fact[[#All],[salestage.Sales Stage]],0)), "")</f>
        <v>7.1428571428571425E-2</v>
      </c>
    </row>
    <row r="251" spans="1:29" x14ac:dyDescent="0.3">
      <c r="A251" s="1">
        <v>42156.457638888889</v>
      </c>
      <c r="B251">
        <v>250</v>
      </c>
      <c r="C251">
        <v>2</v>
      </c>
      <c r="D251">
        <v>200</v>
      </c>
      <c r="E251">
        <v>68</v>
      </c>
      <c r="F251">
        <v>5</v>
      </c>
      <c r="G251">
        <v>1758851</v>
      </c>
      <c r="H251" s="5">
        <v>351770</v>
      </c>
      <c r="I251" s="1">
        <v>1</v>
      </c>
      <c r="J251">
        <v>396</v>
      </c>
      <c r="K251">
        <v>2015</v>
      </c>
      <c r="L251">
        <v>6</v>
      </c>
      <c r="M251" t="s">
        <v>70</v>
      </c>
      <c r="N251" t="s">
        <v>8</v>
      </c>
      <c r="O251" t="s">
        <v>687</v>
      </c>
      <c r="P251">
        <v>120</v>
      </c>
      <c r="Q251">
        <v>1</v>
      </c>
      <c r="R251" t="s">
        <v>138</v>
      </c>
      <c r="S251" t="s">
        <v>8</v>
      </c>
      <c r="T251" t="s">
        <v>174</v>
      </c>
      <c r="U251" t="s">
        <v>95</v>
      </c>
      <c r="V251" t="s">
        <v>72</v>
      </c>
      <c r="W251">
        <v>0.2</v>
      </c>
      <c r="X251" t="s">
        <v>196</v>
      </c>
      <c r="Y251" t="s">
        <v>351</v>
      </c>
      <c r="Z251" t="s">
        <v>3</v>
      </c>
      <c r="AA251" t="s">
        <v>4</v>
      </c>
      <c r="AB251">
        <f xml:space="preserve"> COUNTIF(Fact[[#This Row],[Partner.Partner Driven]], "Yes") / COUNTA(Fact[Opportunity ID])</f>
        <v>2.05761316872428E-3</v>
      </c>
      <c r="AC251">
        <f>IFERROR(INDEX(Fact[[#All],[Opportunity ID]],MATCH(X251,Fact[[#All],[salestage.Sales Stage]],0))/INDEX(Fact[[#All],[Opportunity ID]],MATCH(X250,Fact[[#All],[salestage.Sales Stage]],0)), "")</f>
        <v>0.5</v>
      </c>
    </row>
    <row r="252" spans="1:29" x14ac:dyDescent="0.3">
      <c r="A252" s="1">
        <v>42153.457638888889</v>
      </c>
      <c r="B252">
        <v>251</v>
      </c>
      <c r="C252">
        <v>1</v>
      </c>
      <c r="D252">
        <v>201</v>
      </c>
      <c r="E252">
        <v>3</v>
      </c>
      <c r="F252">
        <v>21</v>
      </c>
      <c r="G252">
        <v>10083008</v>
      </c>
      <c r="H252" s="5">
        <v>1008301</v>
      </c>
      <c r="I252" s="1">
        <v>6</v>
      </c>
      <c r="J252">
        <v>477</v>
      </c>
      <c r="K252">
        <v>2015</v>
      </c>
      <c r="L252">
        <v>5</v>
      </c>
      <c r="M252" t="s">
        <v>68</v>
      </c>
      <c r="N252" t="s">
        <v>3</v>
      </c>
      <c r="O252" t="s">
        <v>688</v>
      </c>
      <c r="P252">
        <v>465</v>
      </c>
      <c r="Q252">
        <v>3</v>
      </c>
      <c r="R252" t="s">
        <v>9</v>
      </c>
      <c r="S252" t="s">
        <v>3</v>
      </c>
      <c r="T252" t="s">
        <v>190</v>
      </c>
      <c r="U252" t="s">
        <v>115</v>
      </c>
      <c r="V252" t="s">
        <v>72</v>
      </c>
      <c r="W252">
        <v>0.1</v>
      </c>
      <c r="X252" t="s">
        <v>195</v>
      </c>
      <c r="Y252" t="s">
        <v>352</v>
      </c>
      <c r="Z252" t="s">
        <v>3</v>
      </c>
      <c r="AA252" t="s">
        <v>9</v>
      </c>
      <c r="AB252">
        <f xml:space="preserve"> COUNTIF(Fact[[#This Row],[Partner.Partner Driven]], "Yes") / COUNTA(Fact[Opportunity ID])</f>
        <v>2.05761316872428E-3</v>
      </c>
      <c r="AC252">
        <f>IFERROR(INDEX(Fact[[#All],[Opportunity ID]],MATCH(X252,Fact[[#All],[salestage.Sales Stage]],0))/INDEX(Fact[[#All],[Opportunity ID]],MATCH(X251,Fact[[#All],[salestage.Sales Stage]],0)), "")</f>
        <v>2</v>
      </c>
    </row>
    <row r="253" spans="1:29" x14ac:dyDescent="0.3">
      <c r="A253" s="1">
        <v>42216.291666666664</v>
      </c>
      <c r="B253">
        <v>252</v>
      </c>
      <c r="C253">
        <v>2</v>
      </c>
      <c r="D253">
        <v>202</v>
      </c>
      <c r="E253">
        <v>8</v>
      </c>
      <c r="F253">
        <v>25</v>
      </c>
      <c r="G253">
        <v>3334564</v>
      </c>
      <c r="H253" s="5">
        <v>666913</v>
      </c>
      <c r="I253" s="1">
        <v>6</v>
      </c>
      <c r="J253">
        <v>512</v>
      </c>
      <c r="K253">
        <v>2015</v>
      </c>
      <c r="L253">
        <v>7</v>
      </c>
      <c r="M253" t="s">
        <v>69</v>
      </c>
      <c r="N253" t="s">
        <v>13</v>
      </c>
      <c r="O253" t="s">
        <v>689</v>
      </c>
      <c r="P253">
        <v>206</v>
      </c>
      <c r="Q253">
        <v>2</v>
      </c>
      <c r="R253" t="s">
        <v>143</v>
      </c>
      <c r="S253" t="s">
        <v>13</v>
      </c>
      <c r="T253" t="s">
        <v>194</v>
      </c>
      <c r="U253" t="s">
        <v>526</v>
      </c>
      <c r="V253" t="s">
        <v>72</v>
      </c>
      <c r="W253">
        <v>0.2</v>
      </c>
      <c r="X253" t="s">
        <v>196</v>
      </c>
      <c r="Y253" t="s">
        <v>353</v>
      </c>
      <c r="Z253" t="s">
        <v>13</v>
      </c>
      <c r="AA253" t="s">
        <v>6</v>
      </c>
      <c r="AB253">
        <f xml:space="preserve"> COUNTIF(Fact[[#This Row],[Partner.Partner Driven]], "Yes") / COUNTA(Fact[Opportunity ID])</f>
        <v>2.05761316872428E-3</v>
      </c>
      <c r="AC253">
        <f>IFERROR(INDEX(Fact[[#All],[Opportunity ID]],MATCH(X253,Fact[[#All],[salestage.Sales Stage]],0))/INDEX(Fact[[#All],[Opportunity ID]],MATCH(X252,Fact[[#All],[salestage.Sales Stage]],0)), "")</f>
        <v>0.5</v>
      </c>
    </row>
    <row r="254" spans="1:29" x14ac:dyDescent="0.3">
      <c r="A254" s="1">
        <v>42217.457638888889</v>
      </c>
      <c r="B254">
        <v>253</v>
      </c>
      <c r="C254">
        <v>1</v>
      </c>
      <c r="D254">
        <v>203</v>
      </c>
      <c r="E254">
        <v>22</v>
      </c>
      <c r="F254">
        <v>16</v>
      </c>
      <c r="G254">
        <v>1315100</v>
      </c>
      <c r="H254" s="5">
        <v>131510</v>
      </c>
      <c r="I254" s="1">
        <v>1</v>
      </c>
      <c r="J254">
        <v>577</v>
      </c>
      <c r="K254">
        <v>2015</v>
      </c>
      <c r="L254">
        <v>8</v>
      </c>
      <c r="M254" t="s">
        <v>513</v>
      </c>
      <c r="N254" t="s">
        <v>13</v>
      </c>
      <c r="O254" t="s">
        <v>690</v>
      </c>
      <c r="P254">
        <v>88</v>
      </c>
      <c r="Q254">
        <v>1</v>
      </c>
      <c r="R254" t="s">
        <v>138</v>
      </c>
      <c r="S254" t="s">
        <v>13</v>
      </c>
      <c r="T254" t="s">
        <v>185</v>
      </c>
      <c r="U254" t="s">
        <v>84</v>
      </c>
      <c r="V254" t="s">
        <v>85</v>
      </c>
      <c r="W254">
        <v>0.1</v>
      </c>
      <c r="X254" t="s">
        <v>195</v>
      </c>
      <c r="Y254" t="s">
        <v>354</v>
      </c>
      <c r="Z254" t="s">
        <v>13</v>
      </c>
      <c r="AA254" t="s">
        <v>9</v>
      </c>
      <c r="AB254">
        <f xml:space="preserve"> COUNTIF(Fact[[#This Row],[Partner.Partner Driven]], "Yes") / COUNTA(Fact[Opportunity ID])</f>
        <v>0</v>
      </c>
      <c r="AC254">
        <f>IFERROR(INDEX(Fact[[#All],[Opportunity ID]],MATCH(X254,Fact[[#All],[salestage.Sales Stage]],0))/INDEX(Fact[[#All],[Opportunity ID]],MATCH(X253,Fact[[#All],[salestage.Sales Stage]],0)), "")</f>
        <v>2</v>
      </c>
    </row>
    <row r="255" spans="1:29" x14ac:dyDescent="0.3">
      <c r="A255" s="1">
        <v>42369.457638888889</v>
      </c>
      <c r="B255">
        <v>254</v>
      </c>
      <c r="C255">
        <v>1</v>
      </c>
      <c r="D255">
        <v>119</v>
      </c>
      <c r="E255">
        <v>54</v>
      </c>
      <c r="F255">
        <v>7</v>
      </c>
      <c r="G255">
        <v>7363574</v>
      </c>
      <c r="H255" s="5">
        <v>736357</v>
      </c>
      <c r="I255" s="1">
        <v>26</v>
      </c>
      <c r="J255">
        <v>431</v>
      </c>
      <c r="K255">
        <v>2015</v>
      </c>
      <c r="L255">
        <v>12</v>
      </c>
      <c r="M255" t="s">
        <v>508</v>
      </c>
      <c r="N255" t="s">
        <v>13</v>
      </c>
      <c r="O255" t="s">
        <v>691</v>
      </c>
      <c r="P255">
        <v>399</v>
      </c>
      <c r="Q255">
        <v>3</v>
      </c>
      <c r="R255" t="s">
        <v>9</v>
      </c>
      <c r="S255" t="s">
        <v>13</v>
      </c>
      <c r="T255" t="s">
        <v>176</v>
      </c>
      <c r="U255" t="s">
        <v>514</v>
      </c>
      <c r="V255" t="s">
        <v>72</v>
      </c>
      <c r="W255">
        <v>0.1</v>
      </c>
      <c r="X255" t="s">
        <v>195</v>
      </c>
      <c r="Y255" t="s">
        <v>270</v>
      </c>
      <c r="Z255" t="s">
        <v>8</v>
      </c>
      <c r="AA255" t="s">
        <v>6</v>
      </c>
      <c r="AB255">
        <f xml:space="preserve"> COUNTIF(Fact[[#This Row],[Partner.Partner Driven]], "Yes") / COUNTA(Fact[Opportunity ID])</f>
        <v>2.05761316872428E-3</v>
      </c>
      <c r="AC255">
        <f>IFERROR(INDEX(Fact[[#All],[Opportunity ID]],MATCH(X255,Fact[[#All],[salestage.Sales Stage]],0))/INDEX(Fact[[#All],[Opportunity ID]],MATCH(X254,Fact[[#All],[salestage.Sales Stage]],0)), "")</f>
        <v>1</v>
      </c>
    </row>
    <row r="256" spans="1:29" x14ac:dyDescent="0.3">
      <c r="A256" s="1">
        <v>42019.457638888889</v>
      </c>
      <c r="B256">
        <v>255</v>
      </c>
      <c r="C256">
        <v>4</v>
      </c>
      <c r="D256">
        <v>204</v>
      </c>
      <c r="E256">
        <v>42</v>
      </c>
      <c r="F256">
        <v>15</v>
      </c>
      <c r="G256">
        <v>2072628</v>
      </c>
      <c r="H256" s="5">
        <v>1243577</v>
      </c>
      <c r="I256" s="1">
        <v>9</v>
      </c>
      <c r="J256">
        <v>371</v>
      </c>
      <c r="K256">
        <v>2015</v>
      </c>
      <c r="L256">
        <v>1</v>
      </c>
      <c r="M256" t="s">
        <v>511</v>
      </c>
      <c r="N256" t="s">
        <v>3</v>
      </c>
      <c r="O256" t="s">
        <v>692</v>
      </c>
      <c r="P256">
        <v>137</v>
      </c>
      <c r="Q256">
        <v>1</v>
      </c>
      <c r="R256" t="s">
        <v>138</v>
      </c>
      <c r="S256" t="s">
        <v>3</v>
      </c>
      <c r="T256" t="s">
        <v>184</v>
      </c>
      <c r="U256" t="s">
        <v>77</v>
      </c>
      <c r="V256" t="s">
        <v>72</v>
      </c>
      <c r="W256">
        <v>0.6</v>
      </c>
      <c r="X256" t="s">
        <v>198</v>
      </c>
      <c r="Y256" t="s">
        <v>355</v>
      </c>
      <c r="Z256" t="s">
        <v>3</v>
      </c>
      <c r="AA256" t="s">
        <v>4</v>
      </c>
      <c r="AB256">
        <f xml:space="preserve"> COUNTIF(Fact[[#This Row],[Partner.Partner Driven]], "Yes") / COUNTA(Fact[Opportunity ID])</f>
        <v>2.05761316872428E-3</v>
      </c>
      <c r="AC256">
        <f>IFERROR(INDEX(Fact[[#All],[Opportunity ID]],MATCH(X256,Fact[[#All],[salestage.Sales Stage]],0))/INDEX(Fact[[#All],[Opportunity ID]],MATCH(X255,Fact[[#All],[salestage.Sales Stage]],0)), "")</f>
        <v>14</v>
      </c>
    </row>
    <row r="257" spans="1:29" x14ac:dyDescent="0.3">
      <c r="A257" s="1">
        <v>42247.457638888889</v>
      </c>
      <c r="B257">
        <v>256</v>
      </c>
      <c r="C257">
        <v>1</v>
      </c>
      <c r="D257">
        <v>205</v>
      </c>
      <c r="E257">
        <v>33</v>
      </c>
      <c r="F257">
        <v>7</v>
      </c>
      <c r="G257">
        <v>2435557</v>
      </c>
      <c r="H257" s="5">
        <v>243556</v>
      </c>
      <c r="I257" s="1">
        <v>13</v>
      </c>
      <c r="J257">
        <v>383</v>
      </c>
      <c r="K257">
        <v>2015</v>
      </c>
      <c r="L257">
        <v>8</v>
      </c>
      <c r="M257" t="s">
        <v>513</v>
      </c>
      <c r="N257" t="s">
        <v>13</v>
      </c>
      <c r="O257" t="s">
        <v>693</v>
      </c>
      <c r="P257">
        <v>161</v>
      </c>
      <c r="Q257">
        <v>1</v>
      </c>
      <c r="R257" t="s">
        <v>138</v>
      </c>
      <c r="S257" t="s">
        <v>13</v>
      </c>
      <c r="T257" t="s">
        <v>176</v>
      </c>
      <c r="U257" t="s">
        <v>539</v>
      </c>
      <c r="V257" t="s">
        <v>72</v>
      </c>
      <c r="W257">
        <v>0.1</v>
      </c>
      <c r="X257" t="s">
        <v>195</v>
      </c>
      <c r="Y257" t="s">
        <v>356</v>
      </c>
      <c r="Z257" t="s">
        <v>13</v>
      </c>
      <c r="AA257" t="s">
        <v>4</v>
      </c>
      <c r="AB257">
        <f xml:space="preserve"> COUNTIF(Fact[[#This Row],[Partner.Partner Driven]], "Yes") / COUNTA(Fact[Opportunity ID])</f>
        <v>2.05761316872428E-3</v>
      </c>
      <c r="AC257">
        <f>IFERROR(INDEX(Fact[[#All],[Opportunity ID]],MATCH(X257,Fact[[#All],[salestage.Sales Stage]],0))/INDEX(Fact[[#All],[Opportunity ID]],MATCH(X256,Fact[[#All],[salestage.Sales Stage]],0)), "")</f>
        <v>7.1428571428571425E-2</v>
      </c>
    </row>
    <row r="258" spans="1:29" x14ac:dyDescent="0.3">
      <c r="A258" s="1">
        <v>42277.457638888889</v>
      </c>
      <c r="B258">
        <v>257</v>
      </c>
      <c r="C258">
        <v>1</v>
      </c>
      <c r="D258">
        <v>206</v>
      </c>
      <c r="E258">
        <v>8</v>
      </c>
      <c r="F258">
        <v>10</v>
      </c>
      <c r="G258">
        <v>319833</v>
      </c>
      <c r="H258" s="5">
        <v>31983</v>
      </c>
      <c r="I258" s="1">
        <v>18</v>
      </c>
      <c r="J258">
        <v>589</v>
      </c>
      <c r="K258">
        <v>2015</v>
      </c>
      <c r="L258">
        <v>9</v>
      </c>
      <c r="M258" t="s">
        <v>507</v>
      </c>
      <c r="N258" t="s">
        <v>3</v>
      </c>
      <c r="O258" t="s">
        <v>694</v>
      </c>
      <c r="P258">
        <v>30</v>
      </c>
      <c r="Q258">
        <v>1</v>
      </c>
      <c r="R258" t="s">
        <v>138</v>
      </c>
      <c r="S258" t="s">
        <v>3</v>
      </c>
      <c r="T258" t="s">
        <v>179</v>
      </c>
      <c r="U258" t="s">
        <v>526</v>
      </c>
      <c r="V258" t="s">
        <v>72</v>
      </c>
      <c r="W258">
        <v>0.1</v>
      </c>
      <c r="X258" t="s">
        <v>195</v>
      </c>
      <c r="Y258" t="s">
        <v>357</v>
      </c>
      <c r="Z258" t="s">
        <v>13</v>
      </c>
      <c r="AA258" t="s">
        <v>6</v>
      </c>
      <c r="AB258">
        <f xml:space="preserve"> COUNTIF(Fact[[#This Row],[Partner.Partner Driven]], "Yes") / COUNTA(Fact[Opportunity ID])</f>
        <v>2.05761316872428E-3</v>
      </c>
      <c r="AC258">
        <f>IFERROR(INDEX(Fact[[#All],[Opportunity ID]],MATCH(X258,Fact[[#All],[salestage.Sales Stage]],0))/INDEX(Fact[[#All],[Opportunity ID]],MATCH(X257,Fact[[#All],[salestage.Sales Stage]],0)), "")</f>
        <v>1</v>
      </c>
    </row>
    <row r="259" spans="1:29" x14ac:dyDescent="0.3">
      <c r="A259" s="1">
        <v>42277.457638888889</v>
      </c>
      <c r="B259">
        <v>258</v>
      </c>
      <c r="C259">
        <v>1</v>
      </c>
      <c r="D259">
        <v>105</v>
      </c>
      <c r="E259">
        <v>8</v>
      </c>
      <c r="F259">
        <v>25</v>
      </c>
      <c r="G259">
        <v>1456290</v>
      </c>
      <c r="H259" s="5">
        <v>145629</v>
      </c>
      <c r="I259" s="1">
        <v>19</v>
      </c>
      <c r="J259">
        <v>588</v>
      </c>
      <c r="K259">
        <v>2015</v>
      </c>
      <c r="L259">
        <v>9</v>
      </c>
      <c r="M259" t="s">
        <v>507</v>
      </c>
      <c r="N259" t="s">
        <v>13</v>
      </c>
      <c r="O259" t="s">
        <v>695</v>
      </c>
      <c r="P259">
        <v>99</v>
      </c>
      <c r="Q259">
        <v>1</v>
      </c>
      <c r="R259" t="s">
        <v>138</v>
      </c>
      <c r="S259" t="s">
        <v>13</v>
      </c>
      <c r="T259" t="s">
        <v>194</v>
      </c>
      <c r="U259" t="s">
        <v>526</v>
      </c>
      <c r="V259" t="s">
        <v>72</v>
      </c>
      <c r="W259">
        <v>0.1</v>
      </c>
      <c r="X259" t="s">
        <v>195</v>
      </c>
      <c r="Y259" t="s">
        <v>256</v>
      </c>
      <c r="Z259" t="s">
        <v>13</v>
      </c>
      <c r="AA259" t="s">
        <v>9</v>
      </c>
      <c r="AB259">
        <f xml:space="preserve"> COUNTIF(Fact[[#This Row],[Partner.Partner Driven]], "Yes") / COUNTA(Fact[Opportunity ID])</f>
        <v>2.05761316872428E-3</v>
      </c>
      <c r="AC259">
        <f>IFERROR(INDEX(Fact[[#All],[Opportunity ID]],MATCH(X259,Fact[[#All],[salestage.Sales Stage]],0))/INDEX(Fact[[#All],[Opportunity ID]],MATCH(X258,Fact[[#All],[salestage.Sales Stage]],0)), "")</f>
        <v>1</v>
      </c>
    </row>
    <row r="260" spans="1:29" x14ac:dyDescent="0.3">
      <c r="A260" s="1">
        <v>42033.457638888889</v>
      </c>
      <c r="B260">
        <v>259</v>
      </c>
      <c r="C260">
        <v>5</v>
      </c>
      <c r="D260">
        <v>207</v>
      </c>
      <c r="E260">
        <v>3</v>
      </c>
      <c r="F260">
        <v>24</v>
      </c>
      <c r="G260">
        <v>7741226</v>
      </c>
      <c r="H260" s="5">
        <v>6192981</v>
      </c>
      <c r="I260" s="1">
        <v>7</v>
      </c>
      <c r="J260">
        <v>387</v>
      </c>
      <c r="K260">
        <v>2015</v>
      </c>
      <c r="L260">
        <v>1</v>
      </c>
      <c r="M260" t="s">
        <v>511</v>
      </c>
      <c r="N260" t="s">
        <v>3</v>
      </c>
      <c r="O260" t="s">
        <v>696</v>
      </c>
      <c r="P260">
        <v>407</v>
      </c>
      <c r="Q260">
        <v>3</v>
      </c>
      <c r="R260" t="s">
        <v>9</v>
      </c>
      <c r="S260" t="s">
        <v>3</v>
      </c>
      <c r="T260" t="s">
        <v>193</v>
      </c>
      <c r="U260" t="s">
        <v>115</v>
      </c>
      <c r="V260" t="s">
        <v>72</v>
      </c>
      <c r="W260">
        <v>0.8</v>
      </c>
      <c r="X260" t="s">
        <v>199</v>
      </c>
      <c r="Y260" t="s">
        <v>358</v>
      </c>
      <c r="Z260" t="s">
        <v>13</v>
      </c>
      <c r="AA260" t="s">
        <v>9</v>
      </c>
      <c r="AB260">
        <f xml:space="preserve"> COUNTIF(Fact[[#This Row],[Partner.Partner Driven]], "Yes") / COUNTA(Fact[Opportunity ID])</f>
        <v>2.05761316872428E-3</v>
      </c>
      <c r="AC260">
        <f>IFERROR(INDEX(Fact[[#All],[Opportunity ID]],MATCH(X260,Fact[[#All],[salestage.Sales Stage]],0))/INDEX(Fact[[#All],[Opportunity ID]],MATCH(X259,Fact[[#All],[salestage.Sales Stage]],0)), "")</f>
        <v>27</v>
      </c>
    </row>
    <row r="261" spans="1:29" x14ac:dyDescent="0.3">
      <c r="A261" s="1">
        <v>42185.457638888889</v>
      </c>
      <c r="B261">
        <v>260</v>
      </c>
      <c r="C261">
        <v>1</v>
      </c>
      <c r="D261">
        <v>208</v>
      </c>
      <c r="E261">
        <v>8</v>
      </c>
      <c r="F261">
        <v>10</v>
      </c>
      <c r="G261">
        <v>9757301</v>
      </c>
      <c r="H261" s="5">
        <v>975730</v>
      </c>
      <c r="I261" s="1">
        <v>2</v>
      </c>
      <c r="J261">
        <v>485</v>
      </c>
      <c r="K261">
        <v>2015</v>
      </c>
      <c r="L261">
        <v>6</v>
      </c>
      <c r="M261" t="s">
        <v>70</v>
      </c>
      <c r="N261" t="s">
        <v>13</v>
      </c>
      <c r="O261" t="s">
        <v>698</v>
      </c>
      <c r="P261">
        <v>458</v>
      </c>
      <c r="Q261">
        <v>3</v>
      </c>
      <c r="R261" t="s">
        <v>9</v>
      </c>
      <c r="S261" t="s">
        <v>13</v>
      </c>
      <c r="T261" t="s">
        <v>179</v>
      </c>
      <c r="U261" t="s">
        <v>526</v>
      </c>
      <c r="V261" t="s">
        <v>72</v>
      </c>
      <c r="W261">
        <v>0.1</v>
      </c>
      <c r="X261" t="s">
        <v>195</v>
      </c>
      <c r="Y261" t="s">
        <v>359</v>
      </c>
      <c r="Z261" t="s">
        <v>3</v>
      </c>
      <c r="AA261" t="s">
        <v>4</v>
      </c>
      <c r="AB261">
        <f xml:space="preserve"> COUNTIF(Fact[[#This Row],[Partner.Partner Driven]], "Yes") / COUNTA(Fact[Opportunity ID])</f>
        <v>2.05761316872428E-3</v>
      </c>
      <c r="AC261">
        <f>IFERROR(INDEX(Fact[[#All],[Opportunity ID]],MATCH(X261,Fact[[#All],[salestage.Sales Stage]],0))/INDEX(Fact[[#All],[Opportunity ID]],MATCH(X260,Fact[[#All],[salestage.Sales Stage]],0)), "")</f>
        <v>3.7037037037037035E-2</v>
      </c>
    </row>
    <row r="262" spans="1:29" x14ac:dyDescent="0.3">
      <c r="A262" s="1">
        <v>42216.291666666664</v>
      </c>
      <c r="B262">
        <v>261</v>
      </c>
      <c r="C262">
        <v>1</v>
      </c>
      <c r="D262">
        <v>209</v>
      </c>
      <c r="E262">
        <v>69</v>
      </c>
      <c r="F262">
        <v>5</v>
      </c>
      <c r="G262">
        <v>702817</v>
      </c>
      <c r="H262" s="5">
        <v>70282</v>
      </c>
      <c r="I262" s="1">
        <v>8</v>
      </c>
      <c r="J262">
        <v>479</v>
      </c>
      <c r="K262">
        <v>2015</v>
      </c>
      <c r="L262">
        <v>7</v>
      </c>
      <c r="M262" t="s">
        <v>69</v>
      </c>
      <c r="N262" t="s">
        <v>13</v>
      </c>
      <c r="O262" t="s">
        <v>699</v>
      </c>
      <c r="P262">
        <v>55</v>
      </c>
      <c r="Q262">
        <v>1</v>
      </c>
      <c r="R262" t="s">
        <v>138</v>
      </c>
      <c r="S262" t="s">
        <v>13</v>
      </c>
      <c r="T262" t="s">
        <v>174</v>
      </c>
      <c r="U262" t="s">
        <v>535</v>
      </c>
      <c r="V262" t="s">
        <v>72</v>
      </c>
      <c r="W262">
        <v>0.1</v>
      </c>
      <c r="X262" t="s">
        <v>195</v>
      </c>
      <c r="Y262" t="s">
        <v>360</v>
      </c>
      <c r="Z262" t="s">
        <v>13</v>
      </c>
      <c r="AA262" t="s">
        <v>9</v>
      </c>
      <c r="AB262">
        <f xml:space="preserve"> COUNTIF(Fact[[#This Row],[Partner.Partner Driven]], "Yes") / COUNTA(Fact[Opportunity ID])</f>
        <v>2.05761316872428E-3</v>
      </c>
      <c r="AC262">
        <f>IFERROR(INDEX(Fact[[#All],[Opportunity ID]],MATCH(X262,Fact[[#All],[salestage.Sales Stage]],0))/INDEX(Fact[[#All],[Opportunity ID]],MATCH(X261,Fact[[#All],[salestage.Sales Stage]],0)), "")</f>
        <v>1</v>
      </c>
    </row>
    <row r="263" spans="1:29" x14ac:dyDescent="0.3">
      <c r="A263" s="1">
        <v>42216.291666666664</v>
      </c>
      <c r="B263">
        <v>262</v>
      </c>
      <c r="C263">
        <v>2</v>
      </c>
      <c r="D263">
        <v>209</v>
      </c>
      <c r="E263">
        <v>69</v>
      </c>
      <c r="F263">
        <v>19</v>
      </c>
      <c r="G263">
        <v>8640981</v>
      </c>
      <c r="H263" s="5">
        <v>1728196</v>
      </c>
      <c r="I263" s="1">
        <v>1</v>
      </c>
      <c r="J263">
        <v>517</v>
      </c>
      <c r="K263">
        <v>2015</v>
      </c>
      <c r="L263">
        <v>7</v>
      </c>
      <c r="M263" t="s">
        <v>69</v>
      </c>
      <c r="N263" t="s">
        <v>3</v>
      </c>
      <c r="O263" t="s">
        <v>700</v>
      </c>
      <c r="P263">
        <v>429</v>
      </c>
      <c r="Q263">
        <v>3</v>
      </c>
      <c r="R263" t="s">
        <v>9</v>
      </c>
      <c r="S263" t="s">
        <v>3</v>
      </c>
      <c r="T263" t="s">
        <v>188</v>
      </c>
      <c r="U263" t="s">
        <v>535</v>
      </c>
      <c r="V263" t="s">
        <v>72</v>
      </c>
      <c r="W263">
        <v>0.2</v>
      </c>
      <c r="X263" t="s">
        <v>196</v>
      </c>
      <c r="Y263" t="s">
        <v>360</v>
      </c>
      <c r="Z263" t="s">
        <v>13</v>
      </c>
      <c r="AA263" t="s">
        <v>9</v>
      </c>
      <c r="AB263">
        <f xml:space="preserve"> COUNTIF(Fact[[#This Row],[Partner.Partner Driven]], "Yes") / COUNTA(Fact[Opportunity ID])</f>
        <v>2.05761316872428E-3</v>
      </c>
      <c r="AC263">
        <f>IFERROR(INDEX(Fact[[#All],[Opportunity ID]],MATCH(X263,Fact[[#All],[salestage.Sales Stage]],0))/INDEX(Fact[[#All],[Opportunity ID]],MATCH(X262,Fact[[#All],[salestage.Sales Stage]],0)), "")</f>
        <v>0.5</v>
      </c>
    </row>
    <row r="264" spans="1:29" x14ac:dyDescent="0.3">
      <c r="A264" s="1">
        <v>42153.457638888889</v>
      </c>
      <c r="B264">
        <v>263</v>
      </c>
      <c r="C264">
        <v>3</v>
      </c>
      <c r="D264">
        <v>210</v>
      </c>
      <c r="E264">
        <v>53</v>
      </c>
      <c r="F264">
        <v>12</v>
      </c>
      <c r="G264">
        <v>120596</v>
      </c>
      <c r="H264" s="5">
        <v>48238</v>
      </c>
      <c r="I264" s="1">
        <v>21</v>
      </c>
      <c r="J264">
        <v>434</v>
      </c>
      <c r="K264">
        <v>2015</v>
      </c>
      <c r="L264">
        <v>5</v>
      </c>
      <c r="M264" t="s">
        <v>68</v>
      </c>
      <c r="N264" t="s">
        <v>8</v>
      </c>
      <c r="O264" t="s">
        <v>701</v>
      </c>
      <c r="P264">
        <v>13</v>
      </c>
      <c r="Q264">
        <v>1</v>
      </c>
      <c r="R264" t="s">
        <v>138</v>
      </c>
      <c r="S264" t="s">
        <v>8</v>
      </c>
      <c r="T264" t="s">
        <v>181</v>
      </c>
      <c r="U264" t="s">
        <v>519</v>
      </c>
      <c r="V264" t="s">
        <v>72</v>
      </c>
      <c r="W264">
        <v>0.4</v>
      </c>
      <c r="X264" t="s">
        <v>197</v>
      </c>
      <c r="Y264" t="s">
        <v>361</v>
      </c>
      <c r="Z264" t="s">
        <v>3</v>
      </c>
      <c r="AA264" t="s">
        <v>4</v>
      </c>
      <c r="AB264">
        <f xml:space="preserve"> COUNTIF(Fact[[#This Row],[Partner.Partner Driven]], "Yes") / COUNTA(Fact[Opportunity ID])</f>
        <v>2.05761316872428E-3</v>
      </c>
      <c r="AC264">
        <f>IFERROR(INDEX(Fact[[#All],[Opportunity ID]],MATCH(X264,Fact[[#All],[salestage.Sales Stage]],0))/INDEX(Fact[[#All],[Opportunity ID]],MATCH(X263,Fact[[#All],[salestage.Sales Stage]],0)), "")</f>
        <v>9</v>
      </c>
    </row>
    <row r="265" spans="1:29" x14ac:dyDescent="0.3">
      <c r="A265" s="1">
        <v>42076.457638888889</v>
      </c>
      <c r="B265">
        <v>264</v>
      </c>
      <c r="C265">
        <v>3</v>
      </c>
      <c r="D265">
        <v>210</v>
      </c>
      <c r="E265">
        <v>8</v>
      </c>
      <c r="F265">
        <v>1</v>
      </c>
      <c r="G265">
        <v>4704468</v>
      </c>
      <c r="H265" s="5">
        <v>1881787</v>
      </c>
      <c r="I265" s="1">
        <v>12</v>
      </c>
      <c r="J265">
        <v>425</v>
      </c>
      <c r="K265">
        <v>2015</v>
      </c>
      <c r="L265">
        <v>3</v>
      </c>
      <c r="M265" t="s">
        <v>512</v>
      </c>
      <c r="N265" t="s">
        <v>3</v>
      </c>
      <c r="O265" t="s">
        <v>702</v>
      </c>
      <c r="P265">
        <v>277</v>
      </c>
      <c r="Q265">
        <v>2</v>
      </c>
      <c r="R265" t="s">
        <v>143</v>
      </c>
      <c r="S265" t="s">
        <v>3</v>
      </c>
      <c r="T265" t="s">
        <v>170</v>
      </c>
      <c r="U265" t="s">
        <v>526</v>
      </c>
      <c r="V265" t="s">
        <v>72</v>
      </c>
      <c r="W265">
        <v>0.4</v>
      </c>
      <c r="X265" t="s">
        <v>197</v>
      </c>
      <c r="Y265" t="s">
        <v>361</v>
      </c>
      <c r="Z265" t="s">
        <v>3</v>
      </c>
      <c r="AA265" t="s">
        <v>4</v>
      </c>
      <c r="AB265">
        <f xml:space="preserve"> COUNTIF(Fact[[#This Row],[Partner.Partner Driven]], "Yes") / COUNTA(Fact[Opportunity ID])</f>
        <v>2.05761316872428E-3</v>
      </c>
      <c r="AC265">
        <f>IFERROR(INDEX(Fact[[#All],[Opportunity ID]],MATCH(X265,Fact[[#All],[salestage.Sales Stage]],0))/INDEX(Fact[[#All],[Opportunity ID]],MATCH(X264,Fact[[#All],[salestage.Sales Stage]],0)), "")</f>
        <v>1</v>
      </c>
    </row>
    <row r="266" spans="1:29" x14ac:dyDescent="0.3">
      <c r="A266" s="1">
        <v>42159.457638888889</v>
      </c>
      <c r="B266">
        <v>265</v>
      </c>
      <c r="C266">
        <v>2</v>
      </c>
      <c r="D266">
        <v>112</v>
      </c>
      <c r="E266">
        <v>3</v>
      </c>
      <c r="F266">
        <v>2</v>
      </c>
      <c r="G266">
        <v>573880</v>
      </c>
      <c r="H266" s="5">
        <v>114776</v>
      </c>
      <c r="I266" s="1">
        <v>4</v>
      </c>
      <c r="J266">
        <v>426</v>
      </c>
      <c r="K266">
        <v>2015</v>
      </c>
      <c r="L266">
        <v>6</v>
      </c>
      <c r="M266" t="s">
        <v>70</v>
      </c>
      <c r="N266" t="s">
        <v>13</v>
      </c>
      <c r="O266" t="s">
        <v>703</v>
      </c>
      <c r="P266">
        <v>47</v>
      </c>
      <c r="Q266">
        <v>1</v>
      </c>
      <c r="R266" t="s">
        <v>138</v>
      </c>
      <c r="S266" t="s">
        <v>13</v>
      </c>
      <c r="T266" t="s">
        <v>171</v>
      </c>
      <c r="U266" t="s">
        <v>115</v>
      </c>
      <c r="V266" t="s">
        <v>72</v>
      </c>
      <c r="W266">
        <v>0.2</v>
      </c>
      <c r="X266" t="s">
        <v>196</v>
      </c>
      <c r="Y266" t="s">
        <v>263</v>
      </c>
      <c r="Z266" t="s">
        <v>13</v>
      </c>
      <c r="AA266" t="s">
        <v>4</v>
      </c>
      <c r="AB266">
        <f xml:space="preserve"> COUNTIF(Fact[[#This Row],[Partner.Partner Driven]], "Yes") / COUNTA(Fact[Opportunity ID])</f>
        <v>2.05761316872428E-3</v>
      </c>
      <c r="AC266">
        <f>IFERROR(INDEX(Fact[[#All],[Opportunity ID]],MATCH(X266,Fact[[#All],[salestage.Sales Stage]],0))/INDEX(Fact[[#All],[Opportunity ID]],MATCH(X265,Fact[[#All],[salestage.Sales Stage]],0)), "")</f>
        <v>0.1111111111111111</v>
      </c>
    </row>
    <row r="267" spans="1:29" x14ac:dyDescent="0.3">
      <c r="A267" s="1">
        <v>42185.457638888889</v>
      </c>
      <c r="B267">
        <v>266</v>
      </c>
      <c r="C267">
        <v>2</v>
      </c>
      <c r="D267">
        <v>211</v>
      </c>
      <c r="E267">
        <v>22</v>
      </c>
      <c r="F267">
        <v>17</v>
      </c>
      <c r="G267">
        <v>3005639</v>
      </c>
      <c r="H267" s="5">
        <v>601128</v>
      </c>
      <c r="I267" s="1">
        <v>12</v>
      </c>
      <c r="J267">
        <v>414</v>
      </c>
      <c r="K267">
        <v>2015</v>
      </c>
      <c r="L267">
        <v>6</v>
      </c>
      <c r="M267" t="s">
        <v>70</v>
      </c>
      <c r="N267" t="s">
        <v>3</v>
      </c>
      <c r="O267" t="s">
        <v>704</v>
      </c>
      <c r="P267">
        <v>186</v>
      </c>
      <c r="Q267">
        <v>2</v>
      </c>
      <c r="R267" t="s">
        <v>143</v>
      </c>
      <c r="S267" t="s">
        <v>3</v>
      </c>
      <c r="T267" t="s">
        <v>186</v>
      </c>
      <c r="U267" t="s">
        <v>84</v>
      </c>
      <c r="V267" t="s">
        <v>85</v>
      </c>
      <c r="W267">
        <v>0.2</v>
      </c>
      <c r="X267" t="s">
        <v>196</v>
      </c>
      <c r="Y267" t="s">
        <v>362</v>
      </c>
      <c r="Z267" t="s">
        <v>8</v>
      </c>
      <c r="AA267" t="s">
        <v>9</v>
      </c>
      <c r="AB267">
        <f xml:space="preserve"> COUNTIF(Fact[[#This Row],[Partner.Partner Driven]], "Yes") / COUNTA(Fact[Opportunity ID])</f>
        <v>0</v>
      </c>
      <c r="AC267">
        <f>IFERROR(INDEX(Fact[[#All],[Opportunity ID]],MATCH(X267,Fact[[#All],[salestage.Sales Stage]],0))/INDEX(Fact[[#All],[Opportunity ID]],MATCH(X266,Fact[[#All],[salestage.Sales Stage]],0)), "")</f>
        <v>1</v>
      </c>
    </row>
    <row r="268" spans="1:29" x14ac:dyDescent="0.3">
      <c r="A268" s="1">
        <v>42216.291666666664</v>
      </c>
      <c r="B268">
        <v>267</v>
      </c>
      <c r="C268">
        <v>1</v>
      </c>
      <c r="D268">
        <v>212</v>
      </c>
      <c r="E268">
        <v>8</v>
      </c>
      <c r="F268">
        <v>8</v>
      </c>
      <c r="G268">
        <v>7195385</v>
      </c>
      <c r="H268" s="5">
        <v>719539</v>
      </c>
      <c r="I268" s="1">
        <v>17</v>
      </c>
      <c r="J268">
        <v>440</v>
      </c>
      <c r="K268">
        <v>2015</v>
      </c>
      <c r="L268">
        <v>7</v>
      </c>
      <c r="M268" t="s">
        <v>69</v>
      </c>
      <c r="N268" t="s">
        <v>3</v>
      </c>
      <c r="O268" t="s">
        <v>705</v>
      </c>
      <c r="P268">
        <v>391</v>
      </c>
      <c r="Q268">
        <v>3</v>
      </c>
      <c r="R268" t="s">
        <v>9</v>
      </c>
      <c r="S268" t="s">
        <v>3</v>
      </c>
      <c r="T268" t="s">
        <v>177</v>
      </c>
      <c r="U268" t="s">
        <v>526</v>
      </c>
      <c r="V268" t="s">
        <v>72</v>
      </c>
      <c r="W268">
        <v>0.1</v>
      </c>
      <c r="X268" t="s">
        <v>195</v>
      </c>
      <c r="Y268" t="s">
        <v>363</v>
      </c>
      <c r="Z268" t="s">
        <v>13</v>
      </c>
      <c r="AA268" t="s">
        <v>4</v>
      </c>
      <c r="AB268">
        <f xml:space="preserve"> COUNTIF(Fact[[#This Row],[Partner.Partner Driven]], "Yes") / COUNTA(Fact[Opportunity ID])</f>
        <v>2.05761316872428E-3</v>
      </c>
      <c r="AC268">
        <f>IFERROR(INDEX(Fact[[#All],[Opportunity ID]],MATCH(X268,Fact[[#All],[salestage.Sales Stage]],0))/INDEX(Fact[[#All],[Opportunity ID]],MATCH(X267,Fact[[#All],[salestage.Sales Stage]],0)), "")</f>
        <v>2</v>
      </c>
    </row>
    <row r="269" spans="1:29" x14ac:dyDescent="0.3">
      <c r="A269" s="1">
        <v>42231.457638888889</v>
      </c>
      <c r="B269">
        <v>268</v>
      </c>
      <c r="C269">
        <v>2</v>
      </c>
      <c r="D269">
        <v>22</v>
      </c>
      <c r="E269">
        <v>8</v>
      </c>
      <c r="F269">
        <v>6</v>
      </c>
      <c r="G269">
        <v>6004287</v>
      </c>
      <c r="H269" s="5">
        <v>1200857</v>
      </c>
      <c r="I269" s="1">
        <v>11</v>
      </c>
      <c r="J269">
        <v>550</v>
      </c>
      <c r="K269">
        <v>2015</v>
      </c>
      <c r="L269">
        <v>8</v>
      </c>
      <c r="M269" t="s">
        <v>513</v>
      </c>
      <c r="N269" t="s">
        <v>13</v>
      </c>
      <c r="O269" t="s">
        <v>706</v>
      </c>
      <c r="P269">
        <v>343</v>
      </c>
      <c r="Q269">
        <v>3</v>
      </c>
      <c r="R269" t="s">
        <v>9</v>
      </c>
      <c r="S269" t="s">
        <v>13</v>
      </c>
      <c r="T269" t="s">
        <v>175</v>
      </c>
      <c r="U269" t="s">
        <v>526</v>
      </c>
      <c r="V269" t="s">
        <v>72</v>
      </c>
      <c r="W269">
        <v>0.2</v>
      </c>
      <c r="X269" t="s">
        <v>196</v>
      </c>
      <c r="Y269" t="s">
        <v>29</v>
      </c>
      <c r="Z269" t="s">
        <v>13</v>
      </c>
      <c r="AA269" t="s">
        <v>4</v>
      </c>
      <c r="AB269">
        <f xml:space="preserve"> COUNTIF(Fact[[#This Row],[Partner.Partner Driven]], "Yes") / COUNTA(Fact[Opportunity ID])</f>
        <v>2.05761316872428E-3</v>
      </c>
      <c r="AC269">
        <f>IFERROR(INDEX(Fact[[#All],[Opportunity ID]],MATCH(X269,Fact[[#All],[salestage.Sales Stage]],0))/INDEX(Fact[[#All],[Opportunity ID]],MATCH(X268,Fact[[#All],[salestage.Sales Stage]],0)), "")</f>
        <v>0.5</v>
      </c>
    </row>
    <row r="270" spans="1:29" x14ac:dyDescent="0.3">
      <c r="A270" s="1">
        <v>42217.457638888889</v>
      </c>
      <c r="B270">
        <v>269</v>
      </c>
      <c r="C270">
        <v>1</v>
      </c>
      <c r="D270">
        <v>213</v>
      </c>
      <c r="E270">
        <v>8</v>
      </c>
      <c r="F270">
        <v>19</v>
      </c>
      <c r="G270">
        <v>4980666</v>
      </c>
      <c r="H270" s="5">
        <v>498067</v>
      </c>
      <c r="I270" s="1">
        <v>1</v>
      </c>
      <c r="J270">
        <v>426</v>
      </c>
      <c r="K270">
        <v>2015</v>
      </c>
      <c r="L270">
        <v>8</v>
      </c>
      <c r="M270" t="s">
        <v>513</v>
      </c>
      <c r="N270" t="s">
        <v>8</v>
      </c>
      <c r="O270" t="s">
        <v>707</v>
      </c>
      <c r="P270">
        <v>293</v>
      </c>
      <c r="Q270">
        <v>2</v>
      </c>
      <c r="R270" t="s">
        <v>143</v>
      </c>
      <c r="S270" t="s">
        <v>8</v>
      </c>
      <c r="T270" t="s">
        <v>188</v>
      </c>
      <c r="U270" t="s">
        <v>526</v>
      </c>
      <c r="V270" t="s">
        <v>72</v>
      </c>
      <c r="W270">
        <v>0.1</v>
      </c>
      <c r="X270" t="s">
        <v>195</v>
      </c>
      <c r="Y270" t="s">
        <v>364</v>
      </c>
      <c r="Z270" t="s">
        <v>8</v>
      </c>
      <c r="AA270" t="s">
        <v>4</v>
      </c>
      <c r="AB270">
        <f xml:space="preserve"> COUNTIF(Fact[[#This Row],[Partner.Partner Driven]], "Yes") / COUNTA(Fact[Opportunity ID])</f>
        <v>2.05761316872428E-3</v>
      </c>
      <c r="AC270">
        <f>IFERROR(INDEX(Fact[[#All],[Opportunity ID]],MATCH(X270,Fact[[#All],[salestage.Sales Stage]],0))/INDEX(Fact[[#All],[Opportunity ID]],MATCH(X269,Fact[[#All],[salestage.Sales Stage]],0)), "")</f>
        <v>2</v>
      </c>
    </row>
    <row r="271" spans="1:29" x14ac:dyDescent="0.3">
      <c r="A271" s="1">
        <v>42277.457638888889</v>
      </c>
      <c r="B271">
        <v>270</v>
      </c>
      <c r="C271">
        <v>1</v>
      </c>
      <c r="D271">
        <v>214</v>
      </c>
      <c r="E271">
        <v>70</v>
      </c>
      <c r="F271">
        <v>10</v>
      </c>
      <c r="G271">
        <v>6238359</v>
      </c>
      <c r="H271" s="5">
        <v>623836</v>
      </c>
      <c r="I271" s="1">
        <v>6</v>
      </c>
      <c r="J271">
        <v>542</v>
      </c>
      <c r="K271">
        <v>2015</v>
      </c>
      <c r="L271">
        <v>9</v>
      </c>
      <c r="M271" t="s">
        <v>507</v>
      </c>
      <c r="N271" t="s">
        <v>13</v>
      </c>
      <c r="O271" t="s">
        <v>709</v>
      </c>
      <c r="P271">
        <v>355</v>
      </c>
      <c r="Q271">
        <v>3</v>
      </c>
      <c r="R271" t="s">
        <v>9</v>
      </c>
      <c r="S271" t="s">
        <v>13</v>
      </c>
      <c r="T271" t="s">
        <v>179</v>
      </c>
      <c r="U271" t="s">
        <v>549</v>
      </c>
      <c r="V271" t="s">
        <v>72</v>
      </c>
      <c r="W271">
        <v>0.1</v>
      </c>
      <c r="X271" t="s">
        <v>195</v>
      </c>
      <c r="Y271" t="s">
        <v>365</v>
      </c>
      <c r="Z271" t="s">
        <v>8</v>
      </c>
      <c r="AA271" t="s">
        <v>6</v>
      </c>
      <c r="AB271">
        <f xml:space="preserve"> COUNTIF(Fact[[#This Row],[Partner.Partner Driven]], "Yes") / COUNTA(Fact[Opportunity ID])</f>
        <v>2.05761316872428E-3</v>
      </c>
      <c r="AC271">
        <f>IFERROR(INDEX(Fact[[#All],[Opportunity ID]],MATCH(X271,Fact[[#All],[salestage.Sales Stage]],0))/INDEX(Fact[[#All],[Opportunity ID]],MATCH(X270,Fact[[#All],[salestage.Sales Stage]],0)), "")</f>
        <v>1</v>
      </c>
    </row>
    <row r="272" spans="1:29" x14ac:dyDescent="0.3">
      <c r="A272" s="1">
        <v>42062.457638888889</v>
      </c>
      <c r="B272">
        <v>271</v>
      </c>
      <c r="C272">
        <v>2</v>
      </c>
      <c r="D272">
        <v>215</v>
      </c>
      <c r="E272">
        <v>8</v>
      </c>
      <c r="F272">
        <v>2</v>
      </c>
      <c r="G272">
        <v>1603088</v>
      </c>
      <c r="H272" s="5">
        <v>320618</v>
      </c>
      <c r="I272" s="1">
        <v>10</v>
      </c>
      <c r="J272">
        <v>382</v>
      </c>
      <c r="K272">
        <v>2015</v>
      </c>
      <c r="L272">
        <v>2</v>
      </c>
      <c r="M272" t="s">
        <v>509</v>
      </c>
      <c r="N272" t="s">
        <v>13</v>
      </c>
      <c r="O272" t="s">
        <v>710</v>
      </c>
      <c r="P272">
        <v>107</v>
      </c>
      <c r="Q272">
        <v>1</v>
      </c>
      <c r="R272" t="s">
        <v>138</v>
      </c>
      <c r="S272" t="s">
        <v>13</v>
      </c>
      <c r="T272" t="s">
        <v>171</v>
      </c>
      <c r="U272" t="s">
        <v>526</v>
      </c>
      <c r="V272" t="s">
        <v>72</v>
      </c>
      <c r="W272">
        <v>0.2</v>
      </c>
      <c r="X272" t="s">
        <v>196</v>
      </c>
      <c r="Y272" t="s">
        <v>366</v>
      </c>
      <c r="Z272" t="s">
        <v>8</v>
      </c>
      <c r="AA272" t="s">
        <v>9</v>
      </c>
      <c r="AB272">
        <f xml:space="preserve"> COUNTIF(Fact[[#This Row],[Partner.Partner Driven]], "Yes") / COUNTA(Fact[Opportunity ID])</f>
        <v>2.05761316872428E-3</v>
      </c>
      <c r="AC272">
        <f>IFERROR(INDEX(Fact[[#All],[Opportunity ID]],MATCH(X272,Fact[[#All],[salestage.Sales Stage]],0))/INDEX(Fact[[#All],[Opportunity ID]],MATCH(X271,Fact[[#All],[salestage.Sales Stage]],0)), "")</f>
        <v>0.5</v>
      </c>
    </row>
    <row r="273" spans="1:29" x14ac:dyDescent="0.3">
      <c r="A273" s="1">
        <v>42216.333333333336</v>
      </c>
      <c r="B273">
        <v>272</v>
      </c>
      <c r="C273">
        <v>2</v>
      </c>
      <c r="D273">
        <v>216</v>
      </c>
      <c r="E273">
        <v>8</v>
      </c>
      <c r="F273">
        <v>2</v>
      </c>
      <c r="G273">
        <v>3185673</v>
      </c>
      <c r="H273" s="5">
        <v>637135</v>
      </c>
      <c r="I273" s="1">
        <v>18</v>
      </c>
      <c r="J273">
        <v>528</v>
      </c>
      <c r="K273">
        <v>2015</v>
      </c>
      <c r="L273">
        <v>7</v>
      </c>
      <c r="M273" t="s">
        <v>69</v>
      </c>
      <c r="N273" t="s">
        <v>13</v>
      </c>
      <c r="O273" t="s">
        <v>711</v>
      </c>
      <c r="P273">
        <v>195</v>
      </c>
      <c r="Q273">
        <v>2</v>
      </c>
      <c r="R273" t="s">
        <v>143</v>
      </c>
      <c r="S273" t="s">
        <v>13</v>
      </c>
      <c r="T273" t="s">
        <v>171</v>
      </c>
      <c r="U273" t="s">
        <v>526</v>
      </c>
      <c r="V273" t="s">
        <v>72</v>
      </c>
      <c r="W273">
        <v>0.2</v>
      </c>
      <c r="X273" t="s">
        <v>196</v>
      </c>
      <c r="Y273" t="s">
        <v>367</v>
      </c>
      <c r="Z273" t="s">
        <v>13</v>
      </c>
      <c r="AA273" t="s">
        <v>6</v>
      </c>
      <c r="AB273">
        <f xml:space="preserve"> COUNTIF(Fact[[#This Row],[Partner.Partner Driven]], "Yes") / COUNTA(Fact[Opportunity ID])</f>
        <v>2.05761316872428E-3</v>
      </c>
      <c r="AC273">
        <f>IFERROR(INDEX(Fact[[#All],[Opportunity ID]],MATCH(X273,Fact[[#All],[salestage.Sales Stage]],0))/INDEX(Fact[[#All],[Opportunity ID]],MATCH(X272,Fact[[#All],[salestage.Sales Stage]],0)), "")</f>
        <v>1</v>
      </c>
    </row>
    <row r="274" spans="1:29" x14ac:dyDescent="0.3">
      <c r="A274" s="1">
        <v>42073.457638888889</v>
      </c>
      <c r="B274">
        <v>273</v>
      </c>
      <c r="C274">
        <v>2</v>
      </c>
      <c r="D274">
        <v>217</v>
      </c>
      <c r="E274">
        <v>22</v>
      </c>
      <c r="F274">
        <v>11</v>
      </c>
      <c r="G274">
        <v>1828155</v>
      </c>
      <c r="H274" s="5">
        <v>365631</v>
      </c>
      <c r="I274" s="1">
        <v>3</v>
      </c>
      <c r="J274">
        <v>431</v>
      </c>
      <c r="K274">
        <v>2015</v>
      </c>
      <c r="L274">
        <v>3</v>
      </c>
      <c r="M274" t="s">
        <v>512</v>
      </c>
      <c r="N274" t="s">
        <v>3</v>
      </c>
      <c r="O274" t="s">
        <v>712</v>
      </c>
      <c r="P274">
        <v>122</v>
      </c>
      <c r="Q274">
        <v>1</v>
      </c>
      <c r="R274" t="s">
        <v>138</v>
      </c>
      <c r="S274" t="s">
        <v>3</v>
      </c>
      <c r="T274" t="s">
        <v>180</v>
      </c>
      <c r="U274" t="s">
        <v>84</v>
      </c>
      <c r="V274" t="s">
        <v>85</v>
      </c>
      <c r="W274">
        <v>0.2</v>
      </c>
      <c r="X274" t="s">
        <v>196</v>
      </c>
      <c r="Y274" t="s">
        <v>368</v>
      </c>
      <c r="Z274" t="s">
        <v>13</v>
      </c>
      <c r="AA274" t="s">
        <v>9</v>
      </c>
      <c r="AB274">
        <f xml:space="preserve"> COUNTIF(Fact[[#This Row],[Partner.Partner Driven]], "Yes") / COUNTA(Fact[Opportunity ID])</f>
        <v>0</v>
      </c>
      <c r="AC274">
        <f>IFERROR(INDEX(Fact[[#All],[Opportunity ID]],MATCH(X274,Fact[[#All],[salestage.Sales Stage]],0))/INDEX(Fact[[#All],[Opportunity ID]],MATCH(X273,Fact[[#All],[salestage.Sales Stage]],0)), "")</f>
        <v>1</v>
      </c>
    </row>
    <row r="275" spans="1:29" x14ac:dyDescent="0.3">
      <c r="A275" s="1">
        <v>42185.457638888889</v>
      </c>
      <c r="B275">
        <v>274</v>
      </c>
      <c r="C275">
        <v>3</v>
      </c>
      <c r="D275">
        <v>218</v>
      </c>
      <c r="E275">
        <v>71</v>
      </c>
      <c r="F275">
        <v>1</v>
      </c>
      <c r="G275">
        <v>3962803</v>
      </c>
      <c r="H275" s="5">
        <v>1585121</v>
      </c>
      <c r="I275" s="1">
        <v>15</v>
      </c>
      <c r="J275">
        <v>441</v>
      </c>
      <c r="K275">
        <v>2015</v>
      </c>
      <c r="L275">
        <v>6</v>
      </c>
      <c r="M275" t="s">
        <v>70</v>
      </c>
      <c r="N275" t="s">
        <v>8</v>
      </c>
      <c r="O275" t="s">
        <v>713</v>
      </c>
      <c r="P275">
        <v>240</v>
      </c>
      <c r="Q275">
        <v>2</v>
      </c>
      <c r="R275" t="s">
        <v>143</v>
      </c>
      <c r="S275" t="s">
        <v>8</v>
      </c>
      <c r="T275" t="s">
        <v>170</v>
      </c>
      <c r="U275" t="s">
        <v>87</v>
      </c>
      <c r="V275" t="s">
        <v>72</v>
      </c>
      <c r="W275">
        <v>0.4</v>
      </c>
      <c r="X275" t="s">
        <v>197</v>
      </c>
      <c r="Y275" t="s">
        <v>369</v>
      </c>
      <c r="Z275" t="s">
        <v>3</v>
      </c>
      <c r="AA275" t="s">
        <v>9</v>
      </c>
      <c r="AB275">
        <f xml:space="preserve"> COUNTIF(Fact[[#This Row],[Partner.Partner Driven]], "Yes") / COUNTA(Fact[Opportunity ID])</f>
        <v>2.05761316872428E-3</v>
      </c>
      <c r="AC275">
        <f>IFERROR(INDEX(Fact[[#All],[Opportunity ID]],MATCH(X275,Fact[[#All],[salestage.Sales Stage]],0))/INDEX(Fact[[#All],[Opportunity ID]],MATCH(X274,Fact[[#All],[salestage.Sales Stage]],0)), "")</f>
        <v>9</v>
      </c>
    </row>
    <row r="276" spans="1:29" x14ac:dyDescent="0.3">
      <c r="A276" s="1">
        <v>42216.291666666664</v>
      </c>
      <c r="B276">
        <v>275</v>
      </c>
      <c r="C276">
        <v>2</v>
      </c>
      <c r="D276">
        <v>219</v>
      </c>
      <c r="E276">
        <v>8</v>
      </c>
      <c r="F276">
        <v>20</v>
      </c>
      <c r="G276">
        <v>6818253</v>
      </c>
      <c r="H276" s="5">
        <v>1363651</v>
      </c>
      <c r="I276" s="1">
        <v>20</v>
      </c>
      <c r="J276">
        <v>437</v>
      </c>
      <c r="K276">
        <v>2015</v>
      </c>
      <c r="L276">
        <v>7</v>
      </c>
      <c r="M276" t="s">
        <v>69</v>
      </c>
      <c r="N276" t="s">
        <v>13</v>
      </c>
      <c r="O276" t="s">
        <v>714</v>
      </c>
      <c r="P276">
        <v>380</v>
      </c>
      <c r="Q276">
        <v>3</v>
      </c>
      <c r="R276" t="s">
        <v>9</v>
      </c>
      <c r="S276" t="s">
        <v>13</v>
      </c>
      <c r="T276" t="s">
        <v>189</v>
      </c>
      <c r="U276" t="s">
        <v>526</v>
      </c>
      <c r="V276" t="s">
        <v>72</v>
      </c>
      <c r="W276">
        <v>0.2</v>
      </c>
      <c r="X276" t="s">
        <v>196</v>
      </c>
      <c r="Y276" t="s">
        <v>370</v>
      </c>
      <c r="Z276" t="s">
        <v>13</v>
      </c>
      <c r="AA276" t="s">
        <v>9</v>
      </c>
      <c r="AB276">
        <f xml:space="preserve"> COUNTIF(Fact[[#This Row],[Partner.Partner Driven]], "Yes") / COUNTA(Fact[Opportunity ID])</f>
        <v>2.05761316872428E-3</v>
      </c>
      <c r="AC276">
        <f>IFERROR(INDEX(Fact[[#All],[Opportunity ID]],MATCH(X276,Fact[[#All],[salestage.Sales Stage]],0))/INDEX(Fact[[#All],[Opportunity ID]],MATCH(X275,Fact[[#All],[salestage.Sales Stage]],0)), "")</f>
        <v>0.1111111111111111</v>
      </c>
    </row>
    <row r="277" spans="1:29" x14ac:dyDescent="0.3">
      <c r="A277" s="1">
        <v>42140.457638888889</v>
      </c>
      <c r="B277">
        <v>276</v>
      </c>
      <c r="C277">
        <v>3</v>
      </c>
      <c r="D277">
        <v>220</v>
      </c>
      <c r="E277">
        <v>3</v>
      </c>
      <c r="F277">
        <v>19</v>
      </c>
      <c r="G277">
        <v>4003685</v>
      </c>
      <c r="H277" s="5">
        <v>1601474</v>
      </c>
      <c r="I277" s="1">
        <v>9</v>
      </c>
      <c r="J277">
        <v>372</v>
      </c>
      <c r="K277">
        <v>2015</v>
      </c>
      <c r="L277">
        <v>5</v>
      </c>
      <c r="M277" t="s">
        <v>68</v>
      </c>
      <c r="N277" t="s">
        <v>13</v>
      </c>
      <c r="O277" t="s">
        <v>715</v>
      </c>
      <c r="P277">
        <v>243</v>
      </c>
      <c r="Q277">
        <v>2</v>
      </c>
      <c r="R277" t="s">
        <v>143</v>
      </c>
      <c r="S277" t="s">
        <v>13</v>
      </c>
      <c r="T277" t="s">
        <v>188</v>
      </c>
      <c r="U277" t="s">
        <v>115</v>
      </c>
      <c r="V277" t="s">
        <v>72</v>
      </c>
      <c r="W277">
        <v>0.4</v>
      </c>
      <c r="X277" t="s">
        <v>197</v>
      </c>
      <c r="Y277" t="s">
        <v>371</v>
      </c>
      <c r="Z277" t="s">
        <v>13</v>
      </c>
      <c r="AA277" t="s">
        <v>4</v>
      </c>
      <c r="AB277">
        <f xml:space="preserve"> COUNTIF(Fact[[#This Row],[Partner.Partner Driven]], "Yes") / COUNTA(Fact[Opportunity ID])</f>
        <v>2.05761316872428E-3</v>
      </c>
      <c r="AC277">
        <f>IFERROR(INDEX(Fact[[#All],[Opportunity ID]],MATCH(X277,Fact[[#All],[salestage.Sales Stage]],0))/INDEX(Fact[[#All],[Opportunity ID]],MATCH(X276,Fact[[#All],[salestage.Sales Stage]],0)), "")</f>
        <v>9</v>
      </c>
    </row>
    <row r="278" spans="1:29" x14ac:dyDescent="0.3">
      <c r="A278" s="1">
        <v>42094.166666666664</v>
      </c>
      <c r="B278">
        <v>277</v>
      </c>
      <c r="C278">
        <v>3</v>
      </c>
      <c r="D278">
        <v>221</v>
      </c>
      <c r="E278">
        <v>22</v>
      </c>
      <c r="F278">
        <v>13</v>
      </c>
      <c r="G278">
        <v>3163151</v>
      </c>
      <c r="H278" s="5">
        <v>1265260</v>
      </c>
      <c r="I278" s="1">
        <v>5</v>
      </c>
      <c r="J278">
        <v>450</v>
      </c>
      <c r="K278">
        <v>2015</v>
      </c>
      <c r="L278">
        <v>3</v>
      </c>
      <c r="M278" t="s">
        <v>512</v>
      </c>
      <c r="N278" t="s">
        <v>13</v>
      </c>
      <c r="O278" t="s">
        <v>716</v>
      </c>
      <c r="P278">
        <v>192</v>
      </c>
      <c r="Q278">
        <v>2</v>
      </c>
      <c r="R278" t="s">
        <v>143</v>
      </c>
      <c r="S278" t="s">
        <v>13</v>
      </c>
      <c r="T278" t="s">
        <v>182</v>
      </c>
      <c r="U278" t="s">
        <v>84</v>
      </c>
      <c r="V278" t="s">
        <v>85</v>
      </c>
      <c r="W278">
        <v>0.4</v>
      </c>
      <c r="X278" t="s">
        <v>197</v>
      </c>
      <c r="Y278" t="s">
        <v>372</v>
      </c>
      <c r="Z278" t="s">
        <v>13</v>
      </c>
      <c r="AA278" t="s">
        <v>9</v>
      </c>
      <c r="AB278">
        <f xml:space="preserve"> COUNTIF(Fact[[#This Row],[Partner.Partner Driven]], "Yes") / COUNTA(Fact[Opportunity ID])</f>
        <v>0</v>
      </c>
      <c r="AC278">
        <f>IFERROR(INDEX(Fact[[#All],[Opportunity ID]],MATCH(X278,Fact[[#All],[salestage.Sales Stage]],0))/INDEX(Fact[[#All],[Opportunity ID]],MATCH(X277,Fact[[#All],[salestage.Sales Stage]],0)), "")</f>
        <v>1</v>
      </c>
    </row>
    <row r="279" spans="1:29" x14ac:dyDescent="0.3">
      <c r="A279" s="1">
        <v>42083.457638888889</v>
      </c>
      <c r="B279">
        <v>278</v>
      </c>
      <c r="C279">
        <v>3</v>
      </c>
      <c r="D279">
        <v>222</v>
      </c>
      <c r="E279">
        <v>22</v>
      </c>
      <c r="F279">
        <v>21</v>
      </c>
      <c r="G279">
        <v>1871483</v>
      </c>
      <c r="H279" s="5">
        <v>748593</v>
      </c>
      <c r="I279" s="1">
        <v>16</v>
      </c>
      <c r="J279">
        <v>428</v>
      </c>
      <c r="K279">
        <v>2015</v>
      </c>
      <c r="L279">
        <v>3</v>
      </c>
      <c r="M279" t="s">
        <v>512</v>
      </c>
      <c r="N279" t="s">
        <v>13</v>
      </c>
      <c r="O279" t="s">
        <v>717</v>
      </c>
      <c r="P279">
        <v>127</v>
      </c>
      <c r="Q279">
        <v>1</v>
      </c>
      <c r="R279" t="s">
        <v>138</v>
      </c>
      <c r="S279" t="s">
        <v>13</v>
      </c>
      <c r="T279" t="s">
        <v>190</v>
      </c>
      <c r="U279" t="s">
        <v>84</v>
      </c>
      <c r="V279" t="s">
        <v>85</v>
      </c>
      <c r="W279">
        <v>0.4</v>
      </c>
      <c r="X279" t="s">
        <v>197</v>
      </c>
      <c r="Y279" t="s">
        <v>373</v>
      </c>
      <c r="Z279" t="s">
        <v>3</v>
      </c>
      <c r="AA279" t="s">
        <v>6</v>
      </c>
      <c r="AB279">
        <f xml:space="preserve"> COUNTIF(Fact[[#This Row],[Partner.Partner Driven]], "Yes") / COUNTA(Fact[Opportunity ID])</f>
        <v>0</v>
      </c>
      <c r="AC279">
        <f>IFERROR(INDEX(Fact[[#All],[Opportunity ID]],MATCH(X279,Fact[[#All],[salestage.Sales Stage]],0))/INDEX(Fact[[#All],[Opportunity ID]],MATCH(X278,Fact[[#All],[salestage.Sales Stage]],0)), "")</f>
        <v>1</v>
      </c>
    </row>
    <row r="280" spans="1:29" x14ac:dyDescent="0.3">
      <c r="A280" s="1">
        <v>42369.457638888889</v>
      </c>
      <c r="B280">
        <v>279</v>
      </c>
      <c r="C280">
        <v>1</v>
      </c>
      <c r="D280">
        <v>223</v>
      </c>
      <c r="E280">
        <v>3</v>
      </c>
      <c r="F280">
        <v>16</v>
      </c>
      <c r="G280">
        <v>12166529</v>
      </c>
      <c r="H280" s="5">
        <v>1216653</v>
      </c>
      <c r="I280" s="1">
        <v>1</v>
      </c>
      <c r="J280">
        <v>609</v>
      </c>
      <c r="K280">
        <v>2015</v>
      </c>
      <c r="L280">
        <v>12</v>
      </c>
      <c r="M280" t="s">
        <v>508</v>
      </c>
      <c r="N280" t="s">
        <v>3</v>
      </c>
      <c r="O280" t="s">
        <v>718</v>
      </c>
      <c r="P280">
        <v>484</v>
      </c>
      <c r="Q280">
        <v>3</v>
      </c>
      <c r="R280" t="s">
        <v>9</v>
      </c>
      <c r="S280" t="s">
        <v>3</v>
      </c>
      <c r="T280" t="s">
        <v>185</v>
      </c>
      <c r="U280" t="s">
        <v>115</v>
      </c>
      <c r="V280" t="s">
        <v>72</v>
      </c>
      <c r="W280">
        <v>0.1</v>
      </c>
      <c r="X280" t="s">
        <v>195</v>
      </c>
      <c r="Y280" t="s">
        <v>374</v>
      </c>
      <c r="Z280" t="s">
        <v>3</v>
      </c>
      <c r="AA280" t="s">
        <v>6</v>
      </c>
      <c r="AB280">
        <f xml:space="preserve"> COUNTIF(Fact[[#This Row],[Partner.Partner Driven]], "Yes") / COUNTA(Fact[Opportunity ID])</f>
        <v>2.05761316872428E-3</v>
      </c>
      <c r="AC280">
        <f>IFERROR(INDEX(Fact[[#All],[Opportunity ID]],MATCH(X280,Fact[[#All],[salestage.Sales Stage]],0))/INDEX(Fact[[#All],[Opportunity ID]],MATCH(X279,Fact[[#All],[salestage.Sales Stage]],0)), "")</f>
        <v>0.22222222222222221</v>
      </c>
    </row>
    <row r="281" spans="1:29" x14ac:dyDescent="0.3">
      <c r="A281" s="1">
        <v>42277.457638888889</v>
      </c>
      <c r="B281">
        <v>280</v>
      </c>
      <c r="C281">
        <v>1</v>
      </c>
      <c r="D281">
        <v>224</v>
      </c>
      <c r="E281">
        <v>8</v>
      </c>
      <c r="F281">
        <v>3</v>
      </c>
      <c r="G281">
        <v>2379340</v>
      </c>
      <c r="H281" s="5">
        <v>237934</v>
      </c>
      <c r="I281" s="1">
        <v>30</v>
      </c>
      <c r="J281">
        <v>365</v>
      </c>
      <c r="K281">
        <v>2015</v>
      </c>
      <c r="L281">
        <v>9</v>
      </c>
      <c r="M281" t="s">
        <v>507</v>
      </c>
      <c r="N281" t="s">
        <v>3</v>
      </c>
      <c r="O281" t="s">
        <v>720</v>
      </c>
      <c r="P281">
        <v>156</v>
      </c>
      <c r="Q281">
        <v>1</v>
      </c>
      <c r="R281" t="s">
        <v>138</v>
      </c>
      <c r="S281" t="s">
        <v>3</v>
      </c>
      <c r="T281" t="s">
        <v>172</v>
      </c>
      <c r="U281" t="s">
        <v>526</v>
      </c>
      <c r="V281" t="s">
        <v>72</v>
      </c>
      <c r="W281">
        <v>0.1</v>
      </c>
      <c r="X281" t="s">
        <v>195</v>
      </c>
      <c r="Y281" t="s">
        <v>375</v>
      </c>
      <c r="Z281" t="s">
        <v>13</v>
      </c>
      <c r="AA281" t="s">
        <v>4</v>
      </c>
      <c r="AB281">
        <f xml:space="preserve"> COUNTIF(Fact[[#This Row],[Partner.Partner Driven]], "Yes") / COUNTA(Fact[Opportunity ID])</f>
        <v>2.05761316872428E-3</v>
      </c>
      <c r="AC281">
        <f>IFERROR(INDEX(Fact[[#All],[Opportunity ID]],MATCH(X281,Fact[[#All],[salestage.Sales Stage]],0))/INDEX(Fact[[#All],[Opportunity ID]],MATCH(X280,Fact[[#All],[salestage.Sales Stage]],0)), "")</f>
        <v>1</v>
      </c>
    </row>
    <row r="282" spans="1:29" x14ac:dyDescent="0.3">
      <c r="A282" s="1">
        <v>42277.457638888889</v>
      </c>
      <c r="B282">
        <v>281</v>
      </c>
      <c r="C282">
        <v>2</v>
      </c>
      <c r="D282">
        <v>53</v>
      </c>
      <c r="E282">
        <v>8</v>
      </c>
      <c r="F282">
        <v>19</v>
      </c>
      <c r="G282">
        <v>10420204</v>
      </c>
      <c r="H282" s="5">
        <v>2084041</v>
      </c>
      <c r="I282" s="1">
        <v>12</v>
      </c>
      <c r="J282">
        <v>414</v>
      </c>
      <c r="K282">
        <v>2015</v>
      </c>
      <c r="L282">
        <v>9</v>
      </c>
      <c r="M282" t="s">
        <v>507</v>
      </c>
      <c r="N282" t="s">
        <v>13</v>
      </c>
      <c r="O282" t="s">
        <v>721</v>
      </c>
      <c r="P282">
        <v>471</v>
      </c>
      <c r="Q282">
        <v>3</v>
      </c>
      <c r="R282" t="s">
        <v>9</v>
      </c>
      <c r="S282" t="s">
        <v>13</v>
      </c>
      <c r="T282" t="s">
        <v>188</v>
      </c>
      <c r="U282" t="s">
        <v>526</v>
      </c>
      <c r="V282" t="s">
        <v>72</v>
      </c>
      <c r="W282">
        <v>0.2</v>
      </c>
      <c r="X282" t="s">
        <v>196</v>
      </c>
      <c r="Y282" t="s">
        <v>204</v>
      </c>
      <c r="Z282" t="s">
        <v>13</v>
      </c>
      <c r="AA282" t="s">
        <v>4</v>
      </c>
      <c r="AB282">
        <f xml:space="preserve"> COUNTIF(Fact[[#This Row],[Partner.Partner Driven]], "Yes") / COUNTA(Fact[Opportunity ID])</f>
        <v>2.05761316872428E-3</v>
      </c>
      <c r="AC282">
        <f>IFERROR(INDEX(Fact[[#All],[Opportunity ID]],MATCH(X282,Fact[[#All],[salestage.Sales Stage]],0))/INDEX(Fact[[#All],[Opportunity ID]],MATCH(X281,Fact[[#All],[salestage.Sales Stage]],0)), "")</f>
        <v>0.5</v>
      </c>
    </row>
    <row r="283" spans="1:29" x14ac:dyDescent="0.3">
      <c r="A283" s="1">
        <v>42338.457638888889</v>
      </c>
      <c r="B283">
        <v>282</v>
      </c>
      <c r="C283">
        <v>1</v>
      </c>
      <c r="D283">
        <v>225</v>
      </c>
      <c r="E283">
        <v>66</v>
      </c>
      <c r="F283">
        <v>10</v>
      </c>
      <c r="G283">
        <v>10142149</v>
      </c>
      <c r="H283" s="5">
        <v>1014215</v>
      </c>
      <c r="I283" s="1">
        <v>15</v>
      </c>
      <c r="J283">
        <v>472</v>
      </c>
      <c r="K283">
        <v>2015</v>
      </c>
      <c r="L283">
        <v>11</v>
      </c>
      <c r="M283" t="s">
        <v>506</v>
      </c>
      <c r="N283" t="s">
        <v>13</v>
      </c>
      <c r="O283" t="s">
        <v>722</v>
      </c>
      <c r="P283">
        <v>466</v>
      </c>
      <c r="Q283">
        <v>3</v>
      </c>
      <c r="R283" t="s">
        <v>9</v>
      </c>
      <c r="S283" t="s">
        <v>13</v>
      </c>
      <c r="T283" t="s">
        <v>179</v>
      </c>
      <c r="U283" t="s">
        <v>540</v>
      </c>
      <c r="V283" t="s">
        <v>72</v>
      </c>
      <c r="W283">
        <v>0.1</v>
      </c>
      <c r="X283" t="s">
        <v>195</v>
      </c>
      <c r="Y283" t="s">
        <v>376</v>
      </c>
      <c r="Z283" t="s">
        <v>13</v>
      </c>
      <c r="AA283" t="s">
        <v>9</v>
      </c>
      <c r="AB283">
        <f xml:space="preserve"> COUNTIF(Fact[[#This Row],[Partner.Partner Driven]], "Yes") / COUNTA(Fact[Opportunity ID])</f>
        <v>2.05761316872428E-3</v>
      </c>
      <c r="AC283">
        <f>IFERROR(INDEX(Fact[[#All],[Opportunity ID]],MATCH(X283,Fact[[#All],[salestage.Sales Stage]],0))/INDEX(Fact[[#All],[Opportunity ID]],MATCH(X282,Fact[[#All],[salestage.Sales Stage]],0)), "")</f>
        <v>2</v>
      </c>
    </row>
    <row r="284" spans="1:29" x14ac:dyDescent="0.3">
      <c r="A284" s="1">
        <v>42277.457638888889</v>
      </c>
      <c r="B284">
        <v>283</v>
      </c>
      <c r="C284">
        <v>1</v>
      </c>
      <c r="D284">
        <v>226</v>
      </c>
      <c r="E284">
        <v>8</v>
      </c>
      <c r="F284">
        <v>20</v>
      </c>
      <c r="G284">
        <v>9254244</v>
      </c>
      <c r="H284" s="5">
        <v>925424</v>
      </c>
      <c r="I284" s="1">
        <v>29</v>
      </c>
      <c r="J284">
        <v>519</v>
      </c>
      <c r="K284">
        <v>2015</v>
      </c>
      <c r="L284">
        <v>9</v>
      </c>
      <c r="M284" t="s">
        <v>507</v>
      </c>
      <c r="N284" t="s">
        <v>8</v>
      </c>
      <c r="O284" t="s">
        <v>723</v>
      </c>
      <c r="P284">
        <v>449</v>
      </c>
      <c r="Q284">
        <v>3</v>
      </c>
      <c r="R284" t="s">
        <v>9</v>
      </c>
      <c r="S284" t="s">
        <v>8</v>
      </c>
      <c r="T284" t="s">
        <v>189</v>
      </c>
      <c r="U284" t="s">
        <v>526</v>
      </c>
      <c r="V284" t="s">
        <v>72</v>
      </c>
      <c r="W284">
        <v>0.1</v>
      </c>
      <c r="X284" t="s">
        <v>195</v>
      </c>
      <c r="Y284" t="s">
        <v>377</v>
      </c>
      <c r="Z284" t="s">
        <v>13</v>
      </c>
      <c r="AA284" t="s">
        <v>9</v>
      </c>
      <c r="AB284">
        <f xml:space="preserve"> COUNTIF(Fact[[#This Row],[Partner.Partner Driven]], "Yes") / COUNTA(Fact[Opportunity ID])</f>
        <v>2.05761316872428E-3</v>
      </c>
      <c r="AC284">
        <f>IFERROR(INDEX(Fact[[#All],[Opportunity ID]],MATCH(X284,Fact[[#All],[salestage.Sales Stage]],0))/INDEX(Fact[[#All],[Opportunity ID]],MATCH(X283,Fact[[#All],[salestage.Sales Stage]],0)), "")</f>
        <v>1</v>
      </c>
    </row>
    <row r="285" spans="1:29" x14ac:dyDescent="0.3">
      <c r="A285" s="1">
        <v>42216.291666666664</v>
      </c>
      <c r="B285">
        <v>284</v>
      </c>
      <c r="C285">
        <v>1</v>
      </c>
      <c r="D285">
        <v>227</v>
      </c>
      <c r="E285">
        <v>8</v>
      </c>
      <c r="F285">
        <v>5</v>
      </c>
      <c r="G285">
        <v>8976166</v>
      </c>
      <c r="H285" s="5">
        <v>897617</v>
      </c>
      <c r="I285" s="1">
        <v>23</v>
      </c>
      <c r="J285">
        <v>373</v>
      </c>
      <c r="K285">
        <v>2015</v>
      </c>
      <c r="L285">
        <v>7</v>
      </c>
      <c r="M285" t="s">
        <v>69</v>
      </c>
      <c r="N285" t="s">
        <v>3</v>
      </c>
      <c r="O285" t="s">
        <v>724</v>
      </c>
      <c r="P285">
        <v>440</v>
      </c>
      <c r="Q285">
        <v>3</v>
      </c>
      <c r="R285" t="s">
        <v>9</v>
      </c>
      <c r="S285" t="s">
        <v>3</v>
      </c>
      <c r="T285" t="s">
        <v>174</v>
      </c>
      <c r="U285" t="s">
        <v>526</v>
      </c>
      <c r="V285" t="s">
        <v>72</v>
      </c>
      <c r="W285">
        <v>0.1</v>
      </c>
      <c r="X285" t="s">
        <v>195</v>
      </c>
      <c r="Y285" t="s">
        <v>378</v>
      </c>
      <c r="Z285" t="s">
        <v>13</v>
      </c>
      <c r="AA285" t="s">
        <v>4</v>
      </c>
      <c r="AB285">
        <f xml:space="preserve"> COUNTIF(Fact[[#This Row],[Partner.Partner Driven]], "Yes") / COUNTA(Fact[Opportunity ID])</f>
        <v>2.05761316872428E-3</v>
      </c>
      <c r="AC285">
        <f>IFERROR(INDEX(Fact[[#All],[Opportunity ID]],MATCH(X285,Fact[[#All],[salestage.Sales Stage]],0))/INDEX(Fact[[#All],[Opportunity ID]],MATCH(X284,Fact[[#All],[salestage.Sales Stage]],0)), "")</f>
        <v>1</v>
      </c>
    </row>
    <row r="286" spans="1:29" x14ac:dyDescent="0.3">
      <c r="A286" s="1">
        <v>42156.457638888889</v>
      </c>
      <c r="B286">
        <v>285</v>
      </c>
      <c r="C286">
        <v>1</v>
      </c>
      <c r="D286">
        <v>228</v>
      </c>
      <c r="E286">
        <v>8</v>
      </c>
      <c r="F286">
        <v>16</v>
      </c>
      <c r="G286">
        <v>6497823</v>
      </c>
      <c r="H286" s="5">
        <v>649782</v>
      </c>
      <c r="I286" s="1">
        <v>1</v>
      </c>
      <c r="J286">
        <v>516</v>
      </c>
      <c r="K286">
        <v>2015</v>
      </c>
      <c r="L286">
        <v>6</v>
      </c>
      <c r="M286" t="s">
        <v>70</v>
      </c>
      <c r="N286" t="s">
        <v>8</v>
      </c>
      <c r="O286" t="s">
        <v>725</v>
      </c>
      <c r="P286">
        <v>367</v>
      </c>
      <c r="Q286">
        <v>3</v>
      </c>
      <c r="R286" t="s">
        <v>9</v>
      </c>
      <c r="S286" t="s">
        <v>8</v>
      </c>
      <c r="T286" t="s">
        <v>185</v>
      </c>
      <c r="U286" t="s">
        <v>526</v>
      </c>
      <c r="V286" t="s">
        <v>72</v>
      </c>
      <c r="W286">
        <v>0.1</v>
      </c>
      <c r="X286" t="s">
        <v>195</v>
      </c>
      <c r="Y286" t="s">
        <v>379</v>
      </c>
      <c r="Z286" t="s">
        <v>3</v>
      </c>
      <c r="AA286" t="s">
        <v>4</v>
      </c>
      <c r="AB286">
        <f xml:space="preserve"> COUNTIF(Fact[[#This Row],[Partner.Partner Driven]], "Yes") / COUNTA(Fact[Opportunity ID])</f>
        <v>2.05761316872428E-3</v>
      </c>
      <c r="AC286">
        <f>IFERROR(INDEX(Fact[[#All],[Opportunity ID]],MATCH(X286,Fact[[#All],[salestage.Sales Stage]],0))/INDEX(Fact[[#All],[Opportunity ID]],MATCH(X285,Fact[[#All],[salestage.Sales Stage]],0)), "")</f>
        <v>1</v>
      </c>
    </row>
    <row r="287" spans="1:29" x14ac:dyDescent="0.3">
      <c r="A287" s="1">
        <v>42217.457638888889</v>
      </c>
      <c r="B287">
        <v>286</v>
      </c>
      <c r="C287">
        <v>1</v>
      </c>
      <c r="D287">
        <v>229</v>
      </c>
      <c r="E287">
        <v>72</v>
      </c>
      <c r="F287">
        <v>18</v>
      </c>
      <c r="G287">
        <v>6703829</v>
      </c>
      <c r="H287" s="5">
        <v>670383</v>
      </c>
      <c r="I287" s="1">
        <v>1</v>
      </c>
      <c r="J287">
        <v>487</v>
      </c>
      <c r="K287">
        <v>2015</v>
      </c>
      <c r="L287">
        <v>8</v>
      </c>
      <c r="M287" t="s">
        <v>513</v>
      </c>
      <c r="N287" t="s">
        <v>13</v>
      </c>
      <c r="O287" t="s">
        <v>726</v>
      </c>
      <c r="P287">
        <v>374</v>
      </c>
      <c r="Q287">
        <v>3</v>
      </c>
      <c r="R287" t="s">
        <v>9</v>
      </c>
      <c r="S287" t="s">
        <v>13</v>
      </c>
      <c r="T287" t="s">
        <v>187</v>
      </c>
      <c r="U287" t="s">
        <v>533</v>
      </c>
      <c r="V287" t="s">
        <v>72</v>
      </c>
      <c r="W287">
        <v>0.1</v>
      </c>
      <c r="X287" t="s">
        <v>195</v>
      </c>
      <c r="Y287" t="s">
        <v>380</v>
      </c>
      <c r="Z287" t="s">
        <v>3</v>
      </c>
      <c r="AA287" t="s">
        <v>9</v>
      </c>
      <c r="AB287">
        <f xml:space="preserve"> COUNTIF(Fact[[#This Row],[Partner.Partner Driven]], "Yes") / COUNTA(Fact[Opportunity ID])</f>
        <v>2.05761316872428E-3</v>
      </c>
      <c r="AC287">
        <f>IFERROR(INDEX(Fact[[#All],[Opportunity ID]],MATCH(X287,Fact[[#All],[salestage.Sales Stage]],0))/INDEX(Fact[[#All],[Opportunity ID]],MATCH(X286,Fact[[#All],[salestage.Sales Stage]],0)), "")</f>
        <v>1</v>
      </c>
    </row>
    <row r="288" spans="1:29" x14ac:dyDescent="0.3">
      <c r="A288" s="1">
        <v>42277.457638888889</v>
      </c>
      <c r="B288">
        <v>287</v>
      </c>
      <c r="C288">
        <v>1</v>
      </c>
      <c r="D288">
        <v>218</v>
      </c>
      <c r="E288">
        <v>8</v>
      </c>
      <c r="F288">
        <v>22</v>
      </c>
      <c r="G288">
        <v>2203900</v>
      </c>
      <c r="H288" s="5">
        <v>220390</v>
      </c>
      <c r="I288" s="1">
        <v>16</v>
      </c>
      <c r="J288">
        <v>441</v>
      </c>
      <c r="K288">
        <v>2015</v>
      </c>
      <c r="L288">
        <v>9</v>
      </c>
      <c r="M288" t="s">
        <v>507</v>
      </c>
      <c r="N288" t="s">
        <v>8</v>
      </c>
      <c r="O288" t="s">
        <v>727</v>
      </c>
      <c r="P288">
        <v>148</v>
      </c>
      <c r="Q288">
        <v>1</v>
      </c>
      <c r="R288" t="s">
        <v>138</v>
      </c>
      <c r="S288" t="s">
        <v>8</v>
      </c>
      <c r="T288" t="s">
        <v>191</v>
      </c>
      <c r="U288" t="s">
        <v>526</v>
      </c>
      <c r="V288" t="s">
        <v>72</v>
      </c>
      <c r="W288">
        <v>0.1</v>
      </c>
      <c r="X288" t="s">
        <v>195</v>
      </c>
      <c r="Y288" t="s">
        <v>369</v>
      </c>
      <c r="Z288" t="s">
        <v>3</v>
      </c>
      <c r="AA288" t="s">
        <v>9</v>
      </c>
      <c r="AB288">
        <f xml:space="preserve"> COUNTIF(Fact[[#This Row],[Partner.Partner Driven]], "Yes") / COUNTA(Fact[Opportunity ID])</f>
        <v>2.05761316872428E-3</v>
      </c>
      <c r="AC288">
        <f>IFERROR(INDEX(Fact[[#All],[Opportunity ID]],MATCH(X288,Fact[[#All],[salestage.Sales Stage]],0))/INDEX(Fact[[#All],[Opportunity ID]],MATCH(X287,Fact[[#All],[salestage.Sales Stage]],0)), "")</f>
        <v>1</v>
      </c>
    </row>
    <row r="289" spans="1:29" x14ac:dyDescent="0.3">
      <c r="A289" s="1">
        <v>42153.457638888889</v>
      </c>
      <c r="B289">
        <v>288</v>
      </c>
      <c r="C289">
        <v>2</v>
      </c>
      <c r="D289">
        <v>230</v>
      </c>
      <c r="E289">
        <v>73</v>
      </c>
      <c r="F289">
        <v>15</v>
      </c>
      <c r="G289">
        <v>1751607</v>
      </c>
      <c r="H289" s="5">
        <v>350321</v>
      </c>
      <c r="I289" s="1">
        <v>14</v>
      </c>
      <c r="J289">
        <v>441</v>
      </c>
      <c r="K289">
        <v>2015</v>
      </c>
      <c r="L289">
        <v>5</v>
      </c>
      <c r="M289" t="s">
        <v>68</v>
      </c>
      <c r="N289" t="s">
        <v>13</v>
      </c>
      <c r="O289" t="s">
        <v>728</v>
      </c>
      <c r="P289">
        <v>117</v>
      </c>
      <c r="Q289">
        <v>1</v>
      </c>
      <c r="R289" t="s">
        <v>138</v>
      </c>
      <c r="S289" t="s">
        <v>13</v>
      </c>
      <c r="T289" t="s">
        <v>184</v>
      </c>
      <c r="U289" t="s">
        <v>523</v>
      </c>
      <c r="V289" t="s">
        <v>72</v>
      </c>
      <c r="W289">
        <v>0.2</v>
      </c>
      <c r="X289" t="s">
        <v>196</v>
      </c>
      <c r="Y289" t="s">
        <v>381</v>
      </c>
      <c r="Z289" t="s">
        <v>3</v>
      </c>
      <c r="AA289" t="s">
        <v>9</v>
      </c>
      <c r="AB289">
        <f xml:space="preserve"> COUNTIF(Fact[[#This Row],[Partner.Partner Driven]], "Yes") / COUNTA(Fact[Opportunity ID])</f>
        <v>2.05761316872428E-3</v>
      </c>
      <c r="AC289">
        <f>IFERROR(INDEX(Fact[[#All],[Opportunity ID]],MATCH(X289,Fact[[#All],[salestage.Sales Stage]],0))/INDEX(Fact[[#All],[Opportunity ID]],MATCH(X288,Fact[[#All],[salestage.Sales Stage]],0)), "")</f>
        <v>0.5</v>
      </c>
    </row>
    <row r="290" spans="1:29" x14ac:dyDescent="0.3">
      <c r="A290" s="1">
        <v>42217.457638888889</v>
      </c>
      <c r="B290">
        <v>289</v>
      </c>
      <c r="C290">
        <v>1</v>
      </c>
      <c r="D290">
        <v>194</v>
      </c>
      <c r="E290">
        <v>8</v>
      </c>
      <c r="F290">
        <v>17</v>
      </c>
      <c r="G290">
        <v>11706144</v>
      </c>
      <c r="H290" s="5">
        <v>1170614</v>
      </c>
      <c r="I290" s="1">
        <v>1</v>
      </c>
      <c r="J290">
        <v>396</v>
      </c>
      <c r="K290">
        <v>2015</v>
      </c>
      <c r="L290">
        <v>8</v>
      </c>
      <c r="M290" t="s">
        <v>513</v>
      </c>
      <c r="N290" t="s">
        <v>8</v>
      </c>
      <c r="O290" t="s">
        <v>729</v>
      </c>
      <c r="P290">
        <v>482</v>
      </c>
      <c r="Q290">
        <v>3</v>
      </c>
      <c r="R290" t="s">
        <v>9</v>
      </c>
      <c r="S290" t="s">
        <v>8</v>
      </c>
      <c r="T290" t="s">
        <v>186</v>
      </c>
      <c r="U290" t="s">
        <v>526</v>
      </c>
      <c r="V290" t="s">
        <v>72</v>
      </c>
      <c r="W290">
        <v>0.1</v>
      </c>
      <c r="X290" t="s">
        <v>195</v>
      </c>
      <c r="Y290" t="s">
        <v>345</v>
      </c>
      <c r="Z290" t="s">
        <v>13</v>
      </c>
      <c r="AA290" t="s">
        <v>9</v>
      </c>
      <c r="AB290">
        <f xml:space="preserve"> COUNTIF(Fact[[#This Row],[Partner.Partner Driven]], "Yes") / COUNTA(Fact[Opportunity ID])</f>
        <v>2.05761316872428E-3</v>
      </c>
      <c r="AC290">
        <f>IFERROR(INDEX(Fact[[#All],[Opportunity ID]],MATCH(X290,Fact[[#All],[salestage.Sales Stage]],0))/INDEX(Fact[[#All],[Opportunity ID]],MATCH(X289,Fact[[#All],[salestage.Sales Stage]],0)), "")</f>
        <v>2</v>
      </c>
    </row>
    <row r="291" spans="1:29" x14ac:dyDescent="0.3">
      <c r="A291" s="1">
        <v>42216.333333333336</v>
      </c>
      <c r="B291">
        <v>290</v>
      </c>
      <c r="C291">
        <v>1</v>
      </c>
      <c r="D291">
        <v>231</v>
      </c>
      <c r="E291">
        <v>74</v>
      </c>
      <c r="F291">
        <v>18</v>
      </c>
      <c r="G291">
        <v>1708259</v>
      </c>
      <c r="H291" s="5">
        <v>170826</v>
      </c>
      <c r="I291" s="1">
        <v>15</v>
      </c>
      <c r="J291">
        <v>503</v>
      </c>
      <c r="K291">
        <v>2015</v>
      </c>
      <c r="L291">
        <v>7</v>
      </c>
      <c r="M291" t="s">
        <v>69</v>
      </c>
      <c r="N291" t="s">
        <v>13</v>
      </c>
      <c r="O291" t="s">
        <v>731</v>
      </c>
      <c r="P291">
        <v>115</v>
      </c>
      <c r="Q291">
        <v>1</v>
      </c>
      <c r="R291" t="s">
        <v>138</v>
      </c>
      <c r="S291" t="s">
        <v>13</v>
      </c>
      <c r="T291" t="s">
        <v>187</v>
      </c>
      <c r="U291" t="s">
        <v>106</v>
      </c>
      <c r="V291" t="s">
        <v>72</v>
      </c>
      <c r="W291">
        <v>0.1</v>
      </c>
      <c r="X291" t="s">
        <v>195</v>
      </c>
      <c r="Y291" t="s">
        <v>382</v>
      </c>
      <c r="Z291" t="s">
        <v>13</v>
      </c>
      <c r="AA291" t="s">
        <v>6</v>
      </c>
      <c r="AB291">
        <f xml:space="preserve"> COUNTIF(Fact[[#This Row],[Partner.Partner Driven]], "Yes") / COUNTA(Fact[Opportunity ID])</f>
        <v>2.05761316872428E-3</v>
      </c>
      <c r="AC291">
        <f>IFERROR(INDEX(Fact[[#All],[Opportunity ID]],MATCH(X291,Fact[[#All],[salestage.Sales Stage]],0))/INDEX(Fact[[#All],[Opportunity ID]],MATCH(X290,Fact[[#All],[salestage.Sales Stage]],0)), "")</f>
        <v>1</v>
      </c>
    </row>
    <row r="292" spans="1:29" x14ac:dyDescent="0.3">
      <c r="A292" s="1">
        <v>42145.291666666664</v>
      </c>
      <c r="B292">
        <v>291</v>
      </c>
      <c r="C292">
        <v>2</v>
      </c>
      <c r="D292">
        <v>232</v>
      </c>
      <c r="E292">
        <v>75</v>
      </c>
      <c r="F292">
        <v>2</v>
      </c>
      <c r="G292">
        <v>1757972</v>
      </c>
      <c r="H292" s="5">
        <v>351594</v>
      </c>
      <c r="I292" s="1">
        <v>8</v>
      </c>
      <c r="J292">
        <v>498</v>
      </c>
      <c r="K292">
        <v>2015</v>
      </c>
      <c r="L292">
        <v>5</v>
      </c>
      <c r="M292" t="s">
        <v>68</v>
      </c>
      <c r="N292" t="s">
        <v>3</v>
      </c>
      <c r="O292" t="s">
        <v>732</v>
      </c>
      <c r="P292">
        <v>119</v>
      </c>
      <c r="Q292">
        <v>1</v>
      </c>
      <c r="R292" t="s">
        <v>138</v>
      </c>
      <c r="S292" t="s">
        <v>3</v>
      </c>
      <c r="T292" t="s">
        <v>171</v>
      </c>
      <c r="U292" t="s">
        <v>110</v>
      </c>
      <c r="V292" t="s">
        <v>72</v>
      </c>
      <c r="W292">
        <v>0.2</v>
      </c>
      <c r="X292" t="s">
        <v>196</v>
      </c>
      <c r="Y292" t="s">
        <v>383</v>
      </c>
      <c r="Z292" t="s">
        <v>8</v>
      </c>
      <c r="AA292" t="s">
        <v>9</v>
      </c>
      <c r="AB292">
        <f xml:space="preserve"> COUNTIF(Fact[[#This Row],[Partner.Partner Driven]], "Yes") / COUNTA(Fact[Opportunity ID])</f>
        <v>2.05761316872428E-3</v>
      </c>
      <c r="AC292">
        <f>IFERROR(INDEX(Fact[[#All],[Opportunity ID]],MATCH(X292,Fact[[#All],[salestage.Sales Stage]],0))/INDEX(Fact[[#All],[Opportunity ID]],MATCH(X291,Fact[[#All],[salestage.Sales Stage]],0)), "")</f>
        <v>0.5</v>
      </c>
    </row>
    <row r="293" spans="1:29" x14ac:dyDescent="0.3">
      <c r="A293" s="1">
        <v>42094.457638888889</v>
      </c>
      <c r="B293">
        <v>292</v>
      </c>
      <c r="C293">
        <v>2</v>
      </c>
      <c r="D293">
        <v>73</v>
      </c>
      <c r="E293">
        <v>1</v>
      </c>
      <c r="F293">
        <v>24</v>
      </c>
      <c r="G293">
        <v>6261202</v>
      </c>
      <c r="H293" s="5">
        <v>1252240</v>
      </c>
      <c r="I293" s="1">
        <v>1</v>
      </c>
      <c r="J293">
        <v>395</v>
      </c>
      <c r="K293">
        <v>2015</v>
      </c>
      <c r="L293">
        <v>3</v>
      </c>
      <c r="M293" t="s">
        <v>512</v>
      </c>
      <c r="N293" t="s">
        <v>13</v>
      </c>
      <c r="O293" t="s">
        <v>733</v>
      </c>
      <c r="P293">
        <v>356</v>
      </c>
      <c r="Q293">
        <v>3</v>
      </c>
      <c r="R293" t="s">
        <v>9</v>
      </c>
      <c r="S293" t="s">
        <v>13</v>
      </c>
      <c r="T293" t="s">
        <v>193</v>
      </c>
      <c r="U293" t="s">
        <v>79</v>
      </c>
      <c r="V293" t="s">
        <v>72</v>
      </c>
      <c r="W293">
        <v>0.2</v>
      </c>
      <c r="X293" t="s">
        <v>196</v>
      </c>
      <c r="Y293" t="s">
        <v>224</v>
      </c>
      <c r="Z293" t="s">
        <v>3</v>
      </c>
      <c r="AA293" t="s">
        <v>4</v>
      </c>
      <c r="AB293">
        <f xml:space="preserve"> COUNTIF(Fact[[#This Row],[Partner.Partner Driven]], "Yes") / COUNTA(Fact[Opportunity ID])</f>
        <v>2.05761316872428E-3</v>
      </c>
      <c r="AC293">
        <f>IFERROR(INDEX(Fact[[#All],[Opportunity ID]],MATCH(X293,Fact[[#All],[salestage.Sales Stage]],0))/INDEX(Fact[[#All],[Opportunity ID]],MATCH(X292,Fact[[#All],[salestage.Sales Stage]],0)), "")</f>
        <v>1</v>
      </c>
    </row>
    <row r="294" spans="1:29" x14ac:dyDescent="0.3">
      <c r="A294" s="1">
        <v>42139.457638888889</v>
      </c>
      <c r="B294">
        <v>293</v>
      </c>
      <c r="C294">
        <v>1</v>
      </c>
      <c r="D294">
        <v>176</v>
      </c>
      <c r="E294">
        <v>3</v>
      </c>
      <c r="F294">
        <v>2</v>
      </c>
      <c r="G294">
        <v>6119271</v>
      </c>
      <c r="H294" s="5">
        <v>611927</v>
      </c>
      <c r="I294" s="1">
        <v>14</v>
      </c>
      <c r="J294">
        <v>366</v>
      </c>
      <c r="K294">
        <v>2015</v>
      </c>
      <c r="L294">
        <v>5</v>
      </c>
      <c r="M294" t="s">
        <v>68</v>
      </c>
      <c r="N294" t="s">
        <v>13</v>
      </c>
      <c r="O294" t="s">
        <v>734</v>
      </c>
      <c r="P294">
        <v>348</v>
      </c>
      <c r="Q294">
        <v>3</v>
      </c>
      <c r="R294" t="s">
        <v>9</v>
      </c>
      <c r="S294" t="s">
        <v>13</v>
      </c>
      <c r="T294" t="s">
        <v>171</v>
      </c>
      <c r="U294" t="s">
        <v>115</v>
      </c>
      <c r="V294" t="s">
        <v>72</v>
      </c>
      <c r="W294">
        <v>0.1</v>
      </c>
      <c r="X294" t="s">
        <v>195</v>
      </c>
      <c r="Y294" t="s">
        <v>327</v>
      </c>
      <c r="Z294" t="s">
        <v>3</v>
      </c>
      <c r="AA294" t="s">
        <v>4</v>
      </c>
      <c r="AB294">
        <f xml:space="preserve"> COUNTIF(Fact[[#This Row],[Partner.Partner Driven]], "Yes") / COUNTA(Fact[Opportunity ID])</f>
        <v>2.05761316872428E-3</v>
      </c>
      <c r="AC294">
        <f>IFERROR(INDEX(Fact[[#All],[Opportunity ID]],MATCH(X294,Fact[[#All],[salestage.Sales Stage]],0))/INDEX(Fact[[#All],[Opportunity ID]],MATCH(X293,Fact[[#All],[salestage.Sales Stage]],0)), "")</f>
        <v>2</v>
      </c>
    </row>
    <row r="295" spans="1:29" x14ac:dyDescent="0.3">
      <c r="A295" s="1">
        <v>42147.457638888889</v>
      </c>
      <c r="B295">
        <v>294</v>
      </c>
      <c r="C295">
        <v>2</v>
      </c>
      <c r="D295">
        <v>233</v>
      </c>
      <c r="E295">
        <v>8</v>
      </c>
      <c r="F295">
        <v>7</v>
      </c>
      <c r="G295">
        <v>2960420</v>
      </c>
      <c r="H295" s="5">
        <v>592084</v>
      </c>
      <c r="I295" s="1">
        <v>23</v>
      </c>
      <c r="J295">
        <v>485</v>
      </c>
      <c r="K295">
        <v>2015</v>
      </c>
      <c r="L295">
        <v>5</v>
      </c>
      <c r="M295" t="s">
        <v>68</v>
      </c>
      <c r="N295" t="s">
        <v>3</v>
      </c>
      <c r="O295" t="s">
        <v>735</v>
      </c>
      <c r="P295">
        <v>185</v>
      </c>
      <c r="Q295">
        <v>2</v>
      </c>
      <c r="R295" t="s">
        <v>143</v>
      </c>
      <c r="S295" t="s">
        <v>3</v>
      </c>
      <c r="T295" t="s">
        <v>176</v>
      </c>
      <c r="U295" t="s">
        <v>526</v>
      </c>
      <c r="V295" t="s">
        <v>72</v>
      </c>
      <c r="W295">
        <v>0.2</v>
      </c>
      <c r="X295" t="s">
        <v>196</v>
      </c>
      <c r="Y295" t="s">
        <v>384</v>
      </c>
      <c r="Z295" t="s">
        <v>8</v>
      </c>
      <c r="AA295" t="s">
        <v>4</v>
      </c>
      <c r="AB295">
        <f xml:space="preserve"> COUNTIF(Fact[[#This Row],[Partner.Partner Driven]], "Yes") / COUNTA(Fact[Opportunity ID])</f>
        <v>2.05761316872428E-3</v>
      </c>
      <c r="AC295">
        <f>IFERROR(INDEX(Fact[[#All],[Opportunity ID]],MATCH(X295,Fact[[#All],[salestage.Sales Stage]],0))/INDEX(Fact[[#All],[Opportunity ID]],MATCH(X294,Fact[[#All],[salestage.Sales Stage]],0)), "")</f>
        <v>0.5</v>
      </c>
    </row>
    <row r="296" spans="1:29" x14ac:dyDescent="0.3">
      <c r="A296" s="1">
        <v>42369.457638888889</v>
      </c>
      <c r="B296">
        <v>295</v>
      </c>
      <c r="C296">
        <v>1</v>
      </c>
      <c r="D296">
        <v>110</v>
      </c>
      <c r="E296">
        <v>22</v>
      </c>
      <c r="F296">
        <v>22</v>
      </c>
      <c r="G296">
        <v>4263304</v>
      </c>
      <c r="H296" s="5">
        <v>426330</v>
      </c>
      <c r="I296" s="1">
        <v>5</v>
      </c>
      <c r="J296">
        <v>574</v>
      </c>
      <c r="K296">
        <v>2015</v>
      </c>
      <c r="L296">
        <v>12</v>
      </c>
      <c r="M296" t="s">
        <v>508</v>
      </c>
      <c r="N296" t="s">
        <v>13</v>
      </c>
      <c r="O296" t="s">
        <v>736</v>
      </c>
      <c r="P296">
        <v>259</v>
      </c>
      <c r="Q296">
        <v>2</v>
      </c>
      <c r="R296" t="s">
        <v>143</v>
      </c>
      <c r="S296" t="s">
        <v>13</v>
      </c>
      <c r="T296" t="s">
        <v>191</v>
      </c>
      <c r="U296" t="s">
        <v>84</v>
      </c>
      <c r="V296" t="s">
        <v>85</v>
      </c>
      <c r="W296">
        <v>0.1</v>
      </c>
      <c r="X296" t="s">
        <v>195</v>
      </c>
      <c r="Y296" t="s">
        <v>261</v>
      </c>
      <c r="Z296" t="s">
        <v>8</v>
      </c>
      <c r="AA296" t="s">
        <v>4</v>
      </c>
      <c r="AB296">
        <f xml:space="preserve"> COUNTIF(Fact[[#This Row],[Partner.Partner Driven]], "Yes") / COUNTA(Fact[Opportunity ID])</f>
        <v>0</v>
      </c>
      <c r="AC296">
        <f>IFERROR(INDEX(Fact[[#All],[Opportunity ID]],MATCH(X296,Fact[[#All],[salestage.Sales Stage]],0))/INDEX(Fact[[#All],[Opportunity ID]],MATCH(X295,Fact[[#All],[salestage.Sales Stage]],0)), "")</f>
        <v>2</v>
      </c>
    </row>
    <row r="297" spans="1:29" x14ac:dyDescent="0.3">
      <c r="A297" s="1">
        <v>42369.457638888889</v>
      </c>
      <c r="B297">
        <v>296</v>
      </c>
      <c r="C297">
        <v>1</v>
      </c>
      <c r="D297">
        <v>234</v>
      </c>
      <c r="E297">
        <v>8</v>
      </c>
      <c r="F297">
        <v>4</v>
      </c>
      <c r="G297">
        <v>8682166</v>
      </c>
      <c r="H297" s="5">
        <v>868217</v>
      </c>
      <c r="I297" s="1">
        <v>24</v>
      </c>
      <c r="J297">
        <v>372</v>
      </c>
      <c r="K297">
        <v>2015</v>
      </c>
      <c r="L297">
        <v>12</v>
      </c>
      <c r="M297" t="s">
        <v>508</v>
      </c>
      <c r="N297" t="s">
        <v>3</v>
      </c>
      <c r="O297" t="s">
        <v>737</v>
      </c>
      <c r="P297">
        <v>430</v>
      </c>
      <c r="Q297">
        <v>3</v>
      </c>
      <c r="R297" t="s">
        <v>9</v>
      </c>
      <c r="S297" t="s">
        <v>3</v>
      </c>
      <c r="T297" t="s">
        <v>173</v>
      </c>
      <c r="U297" t="s">
        <v>526</v>
      </c>
      <c r="V297" t="s">
        <v>72</v>
      </c>
      <c r="W297">
        <v>0.1</v>
      </c>
      <c r="X297" t="s">
        <v>195</v>
      </c>
      <c r="Y297" t="s">
        <v>385</v>
      </c>
      <c r="Z297" t="s">
        <v>3</v>
      </c>
      <c r="AA297" t="s">
        <v>4</v>
      </c>
      <c r="AB297">
        <f xml:space="preserve"> COUNTIF(Fact[[#This Row],[Partner.Partner Driven]], "Yes") / COUNTA(Fact[Opportunity ID])</f>
        <v>2.05761316872428E-3</v>
      </c>
      <c r="AC297">
        <f>IFERROR(INDEX(Fact[[#All],[Opportunity ID]],MATCH(X297,Fact[[#All],[salestage.Sales Stage]],0))/INDEX(Fact[[#All],[Opportunity ID]],MATCH(X296,Fact[[#All],[salestage.Sales Stage]],0)), "")</f>
        <v>1</v>
      </c>
    </row>
    <row r="298" spans="1:29" x14ac:dyDescent="0.3">
      <c r="A298" s="1">
        <v>42185.457638888889</v>
      </c>
      <c r="B298">
        <v>297</v>
      </c>
      <c r="C298">
        <v>3</v>
      </c>
      <c r="D298">
        <v>234</v>
      </c>
      <c r="E298">
        <v>8</v>
      </c>
      <c r="F298">
        <v>25</v>
      </c>
      <c r="G298">
        <v>6970218</v>
      </c>
      <c r="H298" s="5">
        <v>2788087</v>
      </c>
      <c r="I298" s="1">
        <v>2</v>
      </c>
      <c r="J298">
        <v>454</v>
      </c>
      <c r="K298">
        <v>2015</v>
      </c>
      <c r="L298">
        <v>6</v>
      </c>
      <c r="M298" t="s">
        <v>70</v>
      </c>
      <c r="N298" t="s">
        <v>3</v>
      </c>
      <c r="O298" t="s">
        <v>738</v>
      </c>
      <c r="P298">
        <v>383</v>
      </c>
      <c r="Q298">
        <v>3</v>
      </c>
      <c r="R298" t="s">
        <v>9</v>
      </c>
      <c r="S298" t="s">
        <v>3</v>
      </c>
      <c r="T298" t="s">
        <v>194</v>
      </c>
      <c r="U298" t="s">
        <v>526</v>
      </c>
      <c r="V298" t="s">
        <v>72</v>
      </c>
      <c r="W298">
        <v>0.4</v>
      </c>
      <c r="X298" t="s">
        <v>197</v>
      </c>
      <c r="Y298" t="s">
        <v>385</v>
      </c>
      <c r="Z298" t="s">
        <v>3</v>
      </c>
      <c r="AA298" t="s">
        <v>4</v>
      </c>
      <c r="AB298">
        <f xml:space="preserve"> COUNTIF(Fact[[#This Row],[Partner.Partner Driven]], "Yes") / COUNTA(Fact[Opportunity ID])</f>
        <v>2.05761316872428E-3</v>
      </c>
      <c r="AC298">
        <f>IFERROR(INDEX(Fact[[#All],[Opportunity ID]],MATCH(X298,Fact[[#All],[salestage.Sales Stage]],0))/INDEX(Fact[[#All],[Opportunity ID]],MATCH(X297,Fact[[#All],[salestage.Sales Stage]],0)), "")</f>
        <v>4.5</v>
      </c>
    </row>
    <row r="299" spans="1:29" x14ac:dyDescent="0.3">
      <c r="A299" s="1">
        <v>42124.457638888889</v>
      </c>
      <c r="B299">
        <v>298</v>
      </c>
      <c r="C299">
        <v>2</v>
      </c>
      <c r="D299">
        <v>235</v>
      </c>
      <c r="E299">
        <v>8</v>
      </c>
      <c r="F299">
        <v>22</v>
      </c>
      <c r="G299">
        <v>10070015</v>
      </c>
      <c r="H299" s="5">
        <v>2014003</v>
      </c>
      <c r="I299" s="1">
        <v>10</v>
      </c>
      <c r="J299">
        <v>444</v>
      </c>
      <c r="K299">
        <v>2015</v>
      </c>
      <c r="L299">
        <v>4</v>
      </c>
      <c r="M299" t="s">
        <v>510</v>
      </c>
      <c r="N299" t="s">
        <v>8</v>
      </c>
      <c r="O299" t="s">
        <v>739</v>
      </c>
      <c r="P299">
        <v>464</v>
      </c>
      <c r="Q299">
        <v>3</v>
      </c>
      <c r="R299" t="s">
        <v>9</v>
      </c>
      <c r="S299" t="s">
        <v>8</v>
      </c>
      <c r="T299" t="s">
        <v>191</v>
      </c>
      <c r="U299" t="s">
        <v>526</v>
      </c>
      <c r="V299" t="s">
        <v>72</v>
      </c>
      <c r="W299">
        <v>0.2</v>
      </c>
      <c r="X299" t="s">
        <v>196</v>
      </c>
      <c r="Y299" t="s">
        <v>386</v>
      </c>
      <c r="Z299" t="s">
        <v>3</v>
      </c>
      <c r="AA299" t="s">
        <v>4</v>
      </c>
      <c r="AB299">
        <f xml:space="preserve"> COUNTIF(Fact[[#This Row],[Partner.Partner Driven]], "Yes") / COUNTA(Fact[Opportunity ID])</f>
        <v>2.05761316872428E-3</v>
      </c>
      <c r="AC299">
        <f>IFERROR(INDEX(Fact[[#All],[Opportunity ID]],MATCH(X299,Fact[[#All],[salestage.Sales Stage]],0))/INDEX(Fact[[#All],[Opportunity ID]],MATCH(X298,Fact[[#All],[salestage.Sales Stage]],0)), "")</f>
        <v>0.1111111111111111</v>
      </c>
    </row>
    <row r="300" spans="1:29" x14ac:dyDescent="0.3">
      <c r="A300" s="1">
        <v>42094.457638888889</v>
      </c>
      <c r="B300">
        <v>299</v>
      </c>
      <c r="C300">
        <v>4</v>
      </c>
      <c r="D300">
        <v>236</v>
      </c>
      <c r="E300">
        <v>22</v>
      </c>
      <c r="F300">
        <v>21</v>
      </c>
      <c r="G300">
        <v>5391785</v>
      </c>
      <c r="H300" s="5">
        <v>3235071</v>
      </c>
      <c r="I300" s="1">
        <v>15</v>
      </c>
      <c r="J300">
        <v>381</v>
      </c>
      <c r="K300">
        <v>2015</v>
      </c>
      <c r="L300">
        <v>3</v>
      </c>
      <c r="M300" t="s">
        <v>512</v>
      </c>
      <c r="N300" t="s">
        <v>8</v>
      </c>
      <c r="O300" t="s">
        <v>740</v>
      </c>
      <c r="P300">
        <v>314</v>
      </c>
      <c r="Q300">
        <v>2</v>
      </c>
      <c r="R300" t="s">
        <v>143</v>
      </c>
      <c r="S300" t="s">
        <v>8</v>
      </c>
      <c r="T300" t="s">
        <v>190</v>
      </c>
      <c r="U300" t="s">
        <v>84</v>
      </c>
      <c r="V300" t="s">
        <v>85</v>
      </c>
      <c r="W300">
        <v>0.6</v>
      </c>
      <c r="X300" t="s">
        <v>198</v>
      </c>
      <c r="Y300" t="s">
        <v>387</v>
      </c>
      <c r="Z300" t="s">
        <v>3</v>
      </c>
      <c r="AA300" t="s">
        <v>4</v>
      </c>
      <c r="AB300">
        <f xml:space="preserve"> COUNTIF(Fact[[#This Row],[Partner.Partner Driven]], "Yes") / COUNTA(Fact[Opportunity ID])</f>
        <v>0</v>
      </c>
      <c r="AC300">
        <f>IFERROR(INDEX(Fact[[#All],[Opportunity ID]],MATCH(X300,Fact[[#All],[salestage.Sales Stage]],0))/INDEX(Fact[[#All],[Opportunity ID]],MATCH(X299,Fact[[#All],[salestage.Sales Stage]],0)), "")</f>
        <v>28</v>
      </c>
    </row>
    <row r="301" spans="1:29" x14ac:dyDescent="0.3">
      <c r="A301" s="1">
        <v>42153.457638888889</v>
      </c>
      <c r="B301">
        <v>300</v>
      </c>
      <c r="C301">
        <v>1</v>
      </c>
      <c r="D301">
        <v>237</v>
      </c>
      <c r="E301">
        <v>22</v>
      </c>
      <c r="F301">
        <v>7</v>
      </c>
      <c r="G301">
        <v>166619</v>
      </c>
      <c r="H301" s="5">
        <v>16662</v>
      </c>
      <c r="I301" s="1">
        <v>19</v>
      </c>
      <c r="J301">
        <v>405</v>
      </c>
      <c r="K301">
        <v>2015</v>
      </c>
      <c r="L301">
        <v>5</v>
      </c>
      <c r="M301" t="s">
        <v>68</v>
      </c>
      <c r="N301" t="s">
        <v>13</v>
      </c>
      <c r="O301" t="s">
        <v>743</v>
      </c>
      <c r="P301">
        <v>20</v>
      </c>
      <c r="Q301">
        <v>1</v>
      </c>
      <c r="R301" t="s">
        <v>138</v>
      </c>
      <c r="S301" t="s">
        <v>13</v>
      </c>
      <c r="T301" t="s">
        <v>176</v>
      </c>
      <c r="U301" t="s">
        <v>84</v>
      </c>
      <c r="V301" t="s">
        <v>85</v>
      </c>
      <c r="W301">
        <v>0.1</v>
      </c>
      <c r="X301" t="s">
        <v>195</v>
      </c>
      <c r="Y301" t="s">
        <v>388</v>
      </c>
      <c r="Z301" t="s">
        <v>3</v>
      </c>
      <c r="AA301" t="s">
        <v>4</v>
      </c>
      <c r="AB301">
        <f xml:space="preserve"> COUNTIF(Fact[[#This Row],[Partner.Partner Driven]], "Yes") / COUNTA(Fact[Opportunity ID])</f>
        <v>0</v>
      </c>
      <c r="AC301">
        <f>IFERROR(INDEX(Fact[[#All],[Opportunity ID]],MATCH(X301,Fact[[#All],[salestage.Sales Stage]],0))/INDEX(Fact[[#All],[Opportunity ID]],MATCH(X300,Fact[[#All],[salestage.Sales Stage]],0)), "")</f>
        <v>7.1428571428571425E-2</v>
      </c>
    </row>
    <row r="302" spans="1:29" x14ac:dyDescent="0.3">
      <c r="A302" s="1">
        <v>42153.457638888889</v>
      </c>
      <c r="B302">
        <v>301</v>
      </c>
      <c r="C302">
        <v>2</v>
      </c>
      <c r="D302">
        <v>237</v>
      </c>
      <c r="E302">
        <v>22</v>
      </c>
      <c r="F302">
        <v>16</v>
      </c>
      <c r="G302">
        <v>825397</v>
      </c>
      <c r="H302" s="5">
        <v>165079</v>
      </c>
      <c r="I302" s="1">
        <v>1</v>
      </c>
      <c r="J302">
        <v>454</v>
      </c>
      <c r="K302">
        <v>2015</v>
      </c>
      <c r="L302">
        <v>5</v>
      </c>
      <c r="M302" t="s">
        <v>68</v>
      </c>
      <c r="N302" t="s">
        <v>3</v>
      </c>
      <c r="O302" t="s">
        <v>744</v>
      </c>
      <c r="P302">
        <v>61</v>
      </c>
      <c r="Q302">
        <v>1</v>
      </c>
      <c r="R302" t="s">
        <v>138</v>
      </c>
      <c r="S302" t="s">
        <v>3</v>
      </c>
      <c r="T302" t="s">
        <v>185</v>
      </c>
      <c r="U302" t="s">
        <v>84</v>
      </c>
      <c r="V302" t="s">
        <v>85</v>
      </c>
      <c r="W302">
        <v>0.2</v>
      </c>
      <c r="X302" t="s">
        <v>196</v>
      </c>
      <c r="Y302" t="s">
        <v>388</v>
      </c>
      <c r="Z302" t="s">
        <v>3</v>
      </c>
      <c r="AA302" t="s">
        <v>4</v>
      </c>
      <c r="AB302">
        <f xml:space="preserve"> COUNTIF(Fact[[#This Row],[Partner.Partner Driven]], "Yes") / COUNTA(Fact[Opportunity ID])</f>
        <v>0</v>
      </c>
      <c r="AC302">
        <f>IFERROR(INDEX(Fact[[#All],[Opportunity ID]],MATCH(X302,Fact[[#All],[salestage.Sales Stage]],0))/INDEX(Fact[[#All],[Opportunity ID]],MATCH(X301,Fact[[#All],[salestage.Sales Stage]],0)), "")</f>
        <v>0.5</v>
      </c>
    </row>
    <row r="303" spans="1:29" x14ac:dyDescent="0.3">
      <c r="A303" s="1">
        <v>42118.457638888889</v>
      </c>
      <c r="B303">
        <v>302</v>
      </c>
      <c r="C303">
        <v>3</v>
      </c>
      <c r="D303">
        <v>238</v>
      </c>
      <c r="E303">
        <v>22</v>
      </c>
      <c r="F303">
        <v>7</v>
      </c>
      <c r="G303">
        <v>6210749</v>
      </c>
      <c r="H303" s="5">
        <v>1898536</v>
      </c>
      <c r="I303" s="1">
        <v>7</v>
      </c>
      <c r="J303">
        <v>413</v>
      </c>
      <c r="K303">
        <v>2015</v>
      </c>
      <c r="L303">
        <v>4</v>
      </c>
      <c r="M303" t="s">
        <v>510</v>
      </c>
      <c r="N303" t="s">
        <v>13</v>
      </c>
      <c r="O303" t="s">
        <v>745</v>
      </c>
      <c r="P303">
        <v>353</v>
      </c>
      <c r="Q303">
        <v>3</v>
      </c>
      <c r="R303" t="s">
        <v>9</v>
      </c>
      <c r="S303" t="s">
        <v>13</v>
      </c>
      <c r="T303" t="s">
        <v>176</v>
      </c>
      <c r="U303" t="s">
        <v>84</v>
      </c>
      <c r="V303" t="s">
        <v>85</v>
      </c>
      <c r="W303">
        <v>0.4</v>
      </c>
      <c r="X303" t="s">
        <v>197</v>
      </c>
      <c r="Y303" t="s">
        <v>389</v>
      </c>
      <c r="Z303" t="s">
        <v>3</v>
      </c>
      <c r="AA303" t="s">
        <v>4</v>
      </c>
      <c r="AB303">
        <f xml:space="preserve"> COUNTIF(Fact[[#This Row],[Partner.Partner Driven]], "Yes") / COUNTA(Fact[Opportunity ID])</f>
        <v>0</v>
      </c>
      <c r="AC303">
        <f>IFERROR(INDEX(Fact[[#All],[Opportunity ID]],MATCH(X303,Fact[[#All],[salestage.Sales Stage]],0))/INDEX(Fact[[#All],[Opportunity ID]],MATCH(X302,Fact[[#All],[salestage.Sales Stage]],0)), "")</f>
        <v>9</v>
      </c>
    </row>
    <row r="304" spans="1:29" x14ac:dyDescent="0.3">
      <c r="A304" s="1">
        <v>42369.457638888889</v>
      </c>
      <c r="B304">
        <v>303</v>
      </c>
      <c r="C304">
        <v>1</v>
      </c>
      <c r="D304">
        <v>239</v>
      </c>
      <c r="E304">
        <v>76</v>
      </c>
      <c r="F304">
        <v>22</v>
      </c>
      <c r="G304">
        <v>6022755</v>
      </c>
      <c r="H304" s="5">
        <v>602276</v>
      </c>
      <c r="I304" s="1">
        <v>2</v>
      </c>
      <c r="J304">
        <v>485</v>
      </c>
      <c r="K304">
        <v>2015</v>
      </c>
      <c r="L304">
        <v>12</v>
      </c>
      <c r="M304" t="s">
        <v>508</v>
      </c>
      <c r="N304" t="s">
        <v>3</v>
      </c>
      <c r="O304" t="s">
        <v>746</v>
      </c>
      <c r="P304">
        <v>345</v>
      </c>
      <c r="Q304">
        <v>3</v>
      </c>
      <c r="R304" t="s">
        <v>9</v>
      </c>
      <c r="S304" t="s">
        <v>3</v>
      </c>
      <c r="T304" t="s">
        <v>191</v>
      </c>
      <c r="U304" t="s">
        <v>113</v>
      </c>
      <c r="V304" t="s">
        <v>72</v>
      </c>
      <c r="W304">
        <v>0.1</v>
      </c>
      <c r="X304" t="s">
        <v>195</v>
      </c>
      <c r="Y304" t="s">
        <v>390</v>
      </c>
      <c r="Z304" t="s">
        <v>13</v>
      </c>
      <c r="AA304" t="s">
        <v>4</v>
      </c>
      <c r="AB304">
        <f xml:space="preserve"> COUNTIF(Fact[[#This Row],[Partner.Partner Driven]], "Yes") / COUNTA(Fact[Opportunity ID])</f>
        <v>2.05761316872428E-3</v>
      </c>
      <c r="AC304">
        <f>IFERROR(INDEX(Fact[[#All],[Opportunity ID]],MATCH(X304,Fact[[#All],[salestage.Sales Stage]],0))/INDEX(Fact[[#All],[Opportunity ID]],MATCH(X303,Fact[[#All],[salestage.Sales Stage]],0)), "")</f>
        <v>0.22222222222222221</v>
      </c>
    </row>
    <row r="305" spans="1:29" x14ac:dyDescent="0.3">
      <c r="A305" s="1">
        <v>42116.457638888889</v>
      </c>
      <c r="B305">
        <v>304</v>
      </c>
      <c r="C305">
        <v>1</v>
      </c>
      <c r="D305">
        <v>240</v>
      </c>
      <c r="E305">
        <v>77</v>
      </c>
      <c r="F305">
        <v>8</v>
      </c>
      <c r="G305">
        <v>1667041</v>
      </c>
      <c r="H305" s="5">
        <v>166704</v>
      </c>
      <c r="I305" s="1">
        <v>3</v>
      </c>
      <c r="J305">
        <v>443</v>
      </c>
      <c r="K305">
        <v>2015</v>
      </c>
      <c r="L305">
        <v>4</v>
      </c>
      <c r="M305" t="s">
        <v>510</v>
      </c>
      <c r="N305" t="s">
        <v>3</v>
      </c>
      <c r="O305" t="s">
        <v>747</v>
      </c>
      <c r="P305">
        <v>111</v>
      </c>
      <c r="Q305">
        <v>1</v>
      </c>
      <c r="R305" t="s">
        <v>138</v>
      </c>
      <c r="S305" t="s">
        <v>3</v>
      </c>
      <c r="T305" t="s">
        <v>177</v>
      </c>
      <c r="U305" t="s">
        <v>135</v>
      </c>
      <c r="V305" t="s">
        <v>72</v>
      </c>
      <c r="W305">
        <v>0.1</v>
      </c>
      <c r="X305" t="s">
        <v>195</v>
      </c>
      <c r="Y305" t="s">
        <v>391</v>
      </c>
      <c r="Z305" t="s">
        <v>8</v>
      </c>
      <c r="AA305" t="s">
        <v>4</v>
      </c>
      <c r="AB305">
        <f xml:space="preserve"> COUNTIF(Fact[[#This Row],[Partner.Partner Driven]], "Yes") / COUNTA(Fact[Opportunity ID])</f>
        <v>2.05761316872428E-3</v>
      </c>
      <c r="AC305">
        <f>IFERROR(INDEX(Fact[[#All],[Opportunity ID]],MATCH(X305,Fact[[#All],[salestage.Sales Stage]],0))/INDEX(Fact[[#All],[Opportunity ID]],MATCH(X304,Fact[[#All],[salestage.Sales Stage]],0)), "")</f>
        <v>1</v>
      </c>
    </row>
    <row r="306" spans="1:29" x14ac:dyDescent="0.3">
      <c r="A306" s="1">
        <v>42134.457638888889</v>
      </c>
      <c r="B306">
        <v>305</v>
      </c>
      <c r="C306">
        <v>2</v>
      </c>
      <c r="D306">
        <v>241</v>
      </c>
      <c r="E306">
        <v>78</v>
      </c>
      <c r="F306">
        <v>19</v>
      </c>
      <c r="G306">
        <v>3617221</v>
      </c>
      <c r="H306" s="5">
        <v>723444</v>
      </c>
      <c r="I306" s="1">
        <v>2</v>
      </c>
      <c r="J306">
        <v>403</v>
      </c>
      <c r="K306">
        <v>2015</v>
      </c>
      <c r="L306">
        <v>5</v>
      </c>
      <c r="M306" t="s">
        <v>68</v>
      </c>
      <c r="N306" t="s">
        <v>8</v>
      </c>
      <c r="O306" t="s">
        <v>748</v>
      </c>
      <c r="P306">
        <v>222</v>
      </c>
      <c r="Q306">
        <v>2</v>
      </c>
      <c r="R306" t="s">
        <v>143</v>
      </c>
      <c r="S306" t="s">
        <v>8</v>
      </c>
      <c r="T306" t="s">
        <v>188</v>
      </c>
      <c r="U306" t="s">
        <v>525</v>
      </c>
      <c r="V306" t="s">
        <v>72</v>
      </c>
      <c r="W306">
        <v>0.2</v>
      </c>
      <c r="X306" t="s">
        <v>196</v>
      </c>
      <c r="Y306" t="s">
        <v>392</v>
      </c>
      <c r="Z306" t="s">
        <v>13</v>
      </c>
      <c r="AA306" t="s">
        <v>6</v>
      </c>
      <c r="AB306">
        <f xml:space="preserve"> COUNTIF(Fact[[#This Row],[Partner.Partner Driven]], "Yes") / COUNTA(Fact[Opportunity ID])</f>
        <v>2.05761316872428E-3</v>
      </c>
      <c r="AC306">
        <f>IFERROR(INDEX(Fact[[#All],[Opportunity ID]],MATCH(X306,Fact[[#All],[salestage.Sales Stage]],0))/INDEX(Fact[[#All],[Opportunity ID]],MATCH(X305,Fact[[#All],[salestage.Sales Stage]],0)), "")</f>
        <v>0.5</v>
      </c>
    </row>
    <row r="307" spans="1:29" x14ac:dyDescent="0.3">
      <c r="A307" s="1">
        <v>42073.457638888889</v>
      </c>
      <c r="B307">
        <v>306</v>
      </c>
      <c r="C307">
        <v>4</v>
      </c>
      <c r="D307">
        <v>14</v>
      </c>
      <c r="E307">
        <v>78</v>
      </c>
      <c r="F307">
        <v>25</v>
      </c>
      <c r="G307">
        <v>8281658</v>
      </c>
      <c r="H307" s="5">
        <v>4968995</v>
      </c>
      <c r="I307" s="1">
        <v>10</v>
      </c>
      <c r="J307">
        <v>393</v>
      </c>
      <c r="K307">
        <v>2015</v>
      </c>
      <c r="L307">
        <v>3</v>
      </c>
      <c r="M307" t="s">
        <v>512</v>
      </c>
      <c r="N307" t="s">
        <v>13</v>
      </c>
      <c r="O307" t="s">
        <v>749</v>
      </c>
      <c r="P307">
        <v>421</v>
      </c>
      <c r="Q307">
        <v>3</v>
      </c>
      <c r="R307" t="s">
        <v>9</v>
      </c>
      <c r="S307" t="s">
        <v>13</v>
      </c>
      <c r="T307" t="s">
        <v>194</v>
      </c>
      <c r="U307" t="s">
        <v>525</v>
      </c>
      <c r="V307" t="s">
        <v>72</v>
      </c>
      <c r="W307">
        <v>0.6</v>
      </c>
      <c r="X307" t="s">
        <v>198</v>
      </c>
      <c r="Y307" t="s">
        <v>21</v>
      </c>
      <c r="Z307" t="s">
        <v>13</v>
      </c>
      <c r="AA307" t="s">
        <v>4</v>
      </c>
      <c r="AB307">
        <f xml:space="preserve"> COUNTIF(Fact[[#This Row],[Partner.Partner Driven]], "Yes") / COUNTA(Fact[Opportunity ID])</f>
        <v>2.05761316872428E-3</v>
      </c>
      <c r="AC307">
        <f>IFERROR(INDEX(Fact[[#All],[Opportunity ID]],MATCH(X307,Fact[[#All],[salestage.Sales Stage]],0))/INDEX(Fact[[#All],[Opportunity ID]],MATCH(X306,Fact[[#All],[salestage.Sales Stage]],0)), "")</f>
        <v>28</v>
      </c>
    </row>
    <row r="308" spans="1:29" x14ac:dyDescent="0.3">
      <c r="A308" s="1">
        <v>42094.457638888889</v>
      </c>
      <c r="B308">
        <v>307</v>
      </c>
      <c r="C308">
        <v>3</v>
      </c>
      <c r="D308">
        <v>242</v>
      </c>
      <c r="E308">
        <v>22</v>
      </c>
      <c r="F308">
        <v>1</v>
      </c>
      <c r="G308">
        <v>1441888</v>
      </c>
      <c r="H308" s="5">
        <v>576755</v>
      </c>
      <c r="I308" s="1">
        <v>7</v>
      </c>
      <c r="J308">
        <v>417</v>
      </c>
      <c r="K308">
        <v>2015</v>
      </c>
      <c r="L308">
        <v>3</v>
      </c>
      <c r="M308" t="s">
        <v>512</v>
      </c>
      <c r="N308" t="s">
        <v>8</v>
      </c>
      <c r="O308" t="s">
        <v>750</v>
      </c>
      <c r="P308">
        <v>96</v>
      </c>
      <c r="Q308">
        <v>1</v>
      </c>
      <c r="R308" t="s">
        <v>138</v>
      </c>
      <c r="S308" t="s">
        <v>8</v>
      </c>
      <c r="T308" t="s">
        <v>170</v>
      </c>
      <c r="U308" t="s">
        <v>84</v>
      </c>
      <c r="V308" t="s">
        <v>85</v>
      </c>
      <c r="W308">
        <v>0.4</v>
      </c>
      <c r="X308" t="s">
        <v>197</v>
      </c>
      <c r="Y308" t="s">
        <v>393</v>
      </c>
      <c r="Z308" t="s">
        <v>3</v>
      </c>
      <c r="AA308" t="s">
        <v>6</v>
      </c>
      <c r="AB308">
        <f xml:space="preserve"> COUNTIF(Fact[[#This Row],[Partner.Partner Driven]], "Yes") / COUNTA(Fact[Opportunity ID])</f>
        <v>0</v>
      </c>
      <c r="AC308">
        <f>IFERROR(INDEX(Fact[[#All],[Opportunity ID]],MATCH(X308,Fact[[#All],[salestage.Sales Stage]],0))/INDEX(Fact[[#All],[Opportunity ID]],MATCH(X307,Fact[[#All],[salestage.Sales Stage]],0)), "")</f>
        <v>0.32142857142857145</v>
      </c>
    </row>
    <row r="309" spans="1:29" x14ac:dyDescent="0.3">
      <c r="A309" s="1">
        <v>42034.457638888889</v>
      </c>
      <c r="B309">
        <v>308</v>
      </c>
      <c r="C309">
        <v>4</v>
      </c>
      <c r="D309">
        <v>84</v>
      </c>
      <c r="E309">
        <v>22</v>
      </c>
      <c r="F309">
        <v>22</v>
      </c>
      <c r="G309">
        <v>2123087</v>
      </c>
      <c r="H309" s="5">
        <v>1273852</v>
      </c>
      <c r="I309" s="1">
        <v>23</v>
      </c>
      <c r="J309">
        <v>372</v>
      </c>
      <c r="K309">
        <v>2015</v>
      </c>
      <c r="L309">
        <v>1</v>
      </c>
      <c r="M309" t="s">
        <v>511</v>
      </c>
      <c r="N309" t="s">
        <v>8</v>
      </c>
      <c r="O309" t="s">
        <v>751</v>
      </c>
      <c r="P309">
        <v>139</v>
      </c>
      <c r="Q309">
        <v>1</v>
      </c>
      <c r="R309" t="s">
        <v>138</v>
      </c>
      <c r="S309" t="s">
        <v>8</v>
      </c>
      <c r="T309" t="s">
        <v>191</v>
      </c>
      <c r="U309" t="s">
        <v>84</v>
      </c>
      <c r="V309" t="s">
        <v>85</v>
      </c>
      <c r="W309">
        <v>0.6</v>
      </c>
      <c r="X309" t="s">
        <v>198</v>
      </c>
      <c r="Y309" t="s">
        <v>235</v>
      </c>
      <c r="Z309" t="s">
        <v>3</v>
      </c>
      <c r="AA309" t="s">
        <v>9</v>
      </c>
      <c r="AB309">
        <f xml:space="preserve"> COUNTIF(Fact[[#This Row],[Partner.Partner Driven]], "Yes") / COUNTA(Fact[Opportunity ID])</f>
        <v>0</v>
      </c>
      <c r="AC309">
        <f>IFERROR(INDEX(Fact[[#All],[Opportunity ID]],MATCH(X309,Fact[[#All],[salestage.Sales Stage]],0))/INDEX(Fact[[#All],[Opportunity ID]],MATCH(X308,Fact[[#All],[salestage.Sales Stage]],0)), "")</f>
        <v>3.1111111111111112</v>
      </c>
    </row>
    <row r="310" spans="1:29" x14ac:dyDescent="0.3">
      <c r="A310" s="1">
        <v>42125.457638888889</v>
      </c>
      <c r="B310">
        <v>309</v>
      </c>
      <c r="C310">
        <v>2</v>
      </c>
      <c r="D310">
        <v>156</v>
      </c>
      <c r="E310">
        <v>22</v>
      </c>
      <c r="F310">
        <v>19</v>
      </c>
      <c r="G310">
        <v>1076689</v>
      </c>
      <c r="H310" s="5">
        <v>215338</v>
      </c>
      <c r="I310" s="1">
        <v>1</v>
      </c>
      <c r="J310">
        <v>485</v>
      </c>
      <c r="K310">
        <v>2015</v>
      </c>
      <c r="L310">
        <v>5</v>
      </c>
      <c r="M310" t="s">
        <v>68</v>
      </c>
      <c r="N310" t="s">
        <v>3</v>
      </c>
      <c r="O310" t="s">
        <v>752</v>
      </c>
      <c r="P310">
        <v>74</v>
      </c>
      <c r="Q310">
        <v>1</v>
      </c>
      <c r="R310" t="s">
        <v>138</v>
      </c>
      <c r="S310" t="s">
        <v>3</v>
      </c>
      <c r="T310" t="s">
        <v>188</v>
      </c>
      <c r="U310" t="s">
        <v>84</v>
      </c>
      <c r="V310" t="s">
        <v>85</v>
      </c>
      <c r="W310">
        <v>0.2</v>
      </c>
      <c r="X310" t="s">
        <v>196</v>
      </c>
      <c r="Y310" t="s">
        <v>307</v>
      </c>
      <c r="Z310" t="s">
        <v>13</v>
      </c>
      <c r="AA310" t="s">
        <v>9</v>
      </c>
      <c r="AB310">
        <f xml:space="preserve"> COUNTIF(Fact[[#This Row],[Partner.Partner Driven]], "Yes") / COUNTA(Fact[Opportunity ID])</f>
        <v>0</v>
      </c>
      <c r="AC310">
        <f>IFERROR(INDEX(Fact[[#All],[Opportunity ID]],MATCH(X310,Fact[[#All],[salestage.Sales Stage]],0))/INDEX(Fact[[#All],[Opportunity ID]],MATCH(X309,Fact[[#All],[salestage.Sales Stage]],0)), "")</f>
        <v>3.5714285714285712E-2</v>
      </c>
    </row>
    <row r="311" spans="1:29" x14ac:dyDescent="0.3">
      <c r="A311" s="1">
        <v>42062.457638888889</v>
      </c>
      <c r="B311">
        <v>310</v>
      </c>
      <c r="C311">
        <v>4</v>
      </c>
      <c r="D311">
        <v>243</v>
      </c>
      <c r="E311">
        <v>22</v>
      </c>
      <c r="F311">
        <v>15</v>
      </c>
      <c r="G311">
        <v>5112248</v>
      </c>
      <c r="H311" s="5">
        <v>3067349</v>
      </c>
      <c r="I311" s="1">
        <v>5</v>
      </c>
      <c r="J311">
        <v>387</v>
      </c>
      <c r="K311">
        <v>2015</v>
      </c>
      <c r="L311">
        <v>2</v>
      </c>
      <c r="M311" t="s">
        <v>509</v>
      </c>
      <c r="N311" t="s">
        <v>3</v>
      </c>
      <c r="O311" t="s">
        <v>754</v>
      </c>
      <c r="P311">
        <v>301</v>
      </c>
      <c r="Q311">
        <v>2</v>
      </c>
      <c r="R311" t="s">
        <v>143</v>
      </c>
      <c r="S311" t="s">
        <v>3</v>
      </c>
      <c r="T311" t="s">
        <v>184</v>
      </c>
      <c r="U311" t="s">
        <v>84</v>
      </c>
      <c r="V311" t="s">
        <v>85</v>
      </c>
      <c r="W311">
        <v>0.6</v>
      </c>
      <c r="X311" t="s">
        <v>198</v>
      </c>
      <c r="Y311" t="s">
        <v>394</v>
      </c>
      <c r="Z311" t="s">
        <v>13</v>
      </c>
      <c r="AA311" t="s">
        <v>4</v>
      </c>
      <c r="AB311">
        <f xml:space="preserve"> COUNTIF(Fact[[#This Row],[Partner.Partner Driven]], "Yes") / COUNTA(Fact[Opportunity ID])</f>
        <v>0</v>
      </c>
      <c r="AC311">
        <f>IFERROR(INDEX(Fact[[#All],[Opportunity ID]],MATCH(X311,Fact[[#All],[salestage.Sales Stage]],0))/INDEX(Fact[[#All],[Opportunity ID]],MATCH(X310,Fact[[#All],[salestage.Sales Stage]],0)), "")</f>
        <v>28</v>
      </c>
    </row>
    <row r="312" spans="1:29" x14ac:dyDescent="0.3">
      <c r="A312" s="1">
        <v>42062.457638888889</v>
      </c>
      <c r="B312">
        <v>311</v>
      </c>
      <c r="C312">
        <v>4</v>
      </c>
      <c r="D312">
        <v>63</v>
      </c>
      <c r="E312">
        <v>22</v>
      </c>
      <c r="F312">
        <v>7</v>
      </c>
      <c r="G312">
        <v>2705033</v>
      </c>
      <c r="H312" s="5">
        <v>1623020</v>
      </c>
      <c r="I312" s="1">
        <v>2</v>
      </c>
      <c r="J312">
        <v>390</v>
      </c>
      <c r="K312">
        <v>2015</v>
      </c>
      <c r="L312">
        <v>2</v>
      </c>
      <c r="M312" t="s">
        <v>509</v>
      </c>
      <c r="N312" t="s">
        <v>8</v>
      </c>
      <c r="O312" t="s">
        <v>755</v>
      </c>
      <c r="P312">
        <v>178</v>
      </c>
      <c r="Q312">
        <v>2</v>
      </c>
      <c r="R312" t="s">
        <v>143</v>
      </c>
      <c r="S312" t="s">
        <v>8</v>
      </c>
      <c r="T312" t="s">
        <v>176</v>
      </c>
      <c r="U312" t="s">
        <v>84</v>
      </c>
      <c r="V312" t="s">
        <v>85</v>
      </c>
      <c r="W312">
        <v>0.6</v>
      </c>
      <c r="X312" t="s">
        <v>198</v>
      </c>
      <c r="Y312" t="s">
        <v>214</v>
      </c>
      <c r="Z312" t="s">
        <v>3</v>
      </c>
      <c r="AA312" t="s">
        <v>4</v>
      </c>
      <c r="AB312">
        <f xml:space="preserve"> COUNTIF(Fact[[#This Row],[Partner.Partner Driven]], "Yes") / COUNTA(Fact[Opportunity ID])</f>
        <v>0</v>
      </c>
      <c r="AC312">
        <f>IFERROR(INDEX(Fact[[#All],[Opportunity ID]],MATCH(X312,Fact[[#All],[salestage.Sales Stage]],0))/INDEX(Fact[[#All],[Opportunity ID]],MATCH(X311,Fact[[#All],[salestage.Sales Stage]],0)), "")</f>
        <v>1</v>
      </c>
    </row>
    <row r="313" spans="1:29" x14ac:dyDescent="0.3">
      <c r="A313" s="1">
        <v>42369.457638888889</v>
      </c>
      <c r="B313">
        <v>312</v>
      </c>
      <c r="C313">
        <v>1</v>
      </c>
      <c r="D313">
        <v>244</v>
      </c>
      <c r="E313">
        <v>79</v>
      </c>
      <c r="F313">
        <v>22</v>
      </c>
      <c r="G313">
        <v>7749360</v>
      </c>
      <c r="H313" s="5">
        <v>774936</v>
      </c>
      <c r="I313" s="1">
        <v>22</v>
      </c>
      <c r="J313">
        <v>465</v>
      </c>
      <c r="K313">
        <v>2015</v>
      </c>
      <c r="L313">
        <v>12</v>
      </c>
      <c r="M313" t="s">
        <v>508</v>
      </c>
      <c r="N313" t="s">
        <v>13</v>
      </c>
      <c r="O313" t="s">
        <v>756</v>
      </c>
      <c r="P313">
        <v>408</v>
      </c>
      <c r="Q313">
        <v>3</v>
      </c>
      <c r="R313" t="s">
        <v>9</v>
      </c>
      <c r="S313" t="s">
        <v>13</v>
      </c>
      <c r="T313" t="s">
        <v>191</v>
      </c>
      <c r="U313" t="s">
        <v>543</v>
      </c>
      <c r="V313" t="s">
        <v>72</v>
      </c>
      <c r="W313">
        <v>0.1</v>
      </c>
      <c r="X313" t="s">
        <v>195</v>
      </c>
      <c r="Y313" t="s">
        <v>395</v>
      </c>
      <c r="Z313" t="s">
        <v>8</v>
      </c>
      <c r="AA313" t="s">
        <v>6</v>
      </c>
      <c r="AB313">
        <f xml:space="preserve"> COUNTIF(Fact[[#This Row],[Partner.Partner Driven]], "Yes") / COUNTA(Fact[Opportunity ID])</f>
        <v>2.05761316872428E-3</v>
      </c>
      <c r="AC313">
        <f>IFERROR(INDEX(Fact[[#All],[Opportunity ID]],MATCH(X313,Fact[[#All],[salestage.Sales Stage]],0))/INDEX(Fact[[#All],[Opportunity ID]],MATCH(X312,Fact[[#All],[salestage.Sales Stage]],0)), "")</f>
        <v>7.1428571428571425E-2</v>
      </c>
    </row>
    <row r="314" spans="1:29" x14ac:dyDescent="0.3">
      <c r="A314" s="1">
        <v>42153.457638888889</v>
      </c>
      <c r="B314">
        <v>313</v>
      </c>
      <c r="C314">
        <v>1</v>
      </c>
      <c r="D314">
        <v>245</v>
      </c>
      <c r="E314">
        <v>22</v>
      </c>
      <c r="F314">
        <v>22</v>
      </c>
      <c r="G314">
        <v>4871845</v>
      </c>
      <c r="H314" s="5">
        <v>487185</v>
      </c>
      <c r="I314" s="1">
        <v>16</v>
      </c>
      <c r="J314">
        <v>467</v>
      </c>
      <c r="K314">
        <v>2015</v>
      </c>
      <c r="L314">
        <v>5</v>
      </c>
      <c r="M314" t="s">
        <v>68</v>
      </c>
      <c r="N314" t="s">
        <v>8</v>
      </c>
      <c r="O314" t="s">
        <v>757</v>
      </c>
      <c r="P314">
        <v>285</v>
      </c>
      <c r="Q314">
        <v>2</v>
      </c>
      <c r="R314" t="s">
        <v>143</v>
      </c>
      <c r="S314" t="s">
        <v>8</v>
      </c>
      <c r="T314" t="s">
        <v>191</v>
      </c>
      <c r="U314" t="s">
        <v>84</v>
      </c>
      <c r="V314" t="s">
        <v>85</v>
      </c>
      <c r="W314">
        <v>0.1</v>
      </c>
      <c r="X314" t="s">
        <v>195</v>
      </c>
      <c r="Y314" t="s">
        <v>396</v>
      </c>
      <c r="Z314" t="s">
        <v>3</v>
      </c>
      <c r="AA314" t="s">
        <v>4</v>
      </c>
      <c r="AB314">
        <f xml:space="preserve"> COUNTIF(Fact[[#This Row],[Partner.Partner Driven]], "Yes") / COUNTA(Fact[Opportunity ID])</f>
        <v>0</v>
      </c>
      <c r="AC314">
        <f>IFERROR(INDEX(Fact[[#All],[Opportunity ID]],MATCH(X314,Fact[[#All],[salestage.Sales Stage]],0))/INDEX(Fact[[#All],[Opportunity ID]],MATCH(X313,Fact[[#All],[salestage.Sales Stage]],0)), "")</f>
        <v>1</v>
      </c>
    </row>
    <row r="315" spans="1:29" x14ac:dyDescent="0.3">
      <c r="A315" s="1">
        <v>42076.457638888889</v>
      </c>
      <c r="B315">
        <v>314</v>
      </c>
      <c r="C315">
        <v>2</v>
      </c>
      <c r="D315">
        <v>238</v>
      </c>
      <c r="E315">
        <v>22</v>
      </c>
      <c r="F315">
        <v>2</v>
      </c>
      <c r="G315">
        <v>5637784</v>
      </c>
      <c r="H315" s="5">
        <v>1127557</v>
      </c>
      <c r="I315" s="1">
        <v>3</v>
      </c>
      <c r="J315">
        <v>375</v>
      </c>
      <c r="K315">
        <v>2015</v>
      </c>
      <c r="L315">
        <v>3</v>
      </c>
      <c r="M315" t="s">
        <v>512</v>
      </c>
      <c r="N315" t="s">
        <v>13</v>
      </c>
      <c r="O315" t="s">
        <v>758</v>
      </c>
      <c r="P315">
        <v>325</v>
      </c>
      <c r="Q315">
        <v>3</v>
      </c>
      <c r="R315" t="s">
        <v>9</v>
      </c>
      <c r="S315" t="s">
        <v>13</v>
      </c>
      <c r="T315" t="s">
        <v>171</v>
      </c>
      <c r="U315" t="s">
        <v>84</v>
      </c>
      <c r="V315" t="s">
        <v>85</v>
      </c>
      <c r="W315">
        <v>0.2</v>
      </c>
      <c r="X315" t="s">
        <v>196</v>
      </c>
      <c r="Y315" t="s">
        <v>389</v>
      </c>
      <c r="Z315" t="s">
        <v>3</v>
      </c>
      <c r="AA315" t="s">
        <v>4</v>
      </c>
      <c r="AB315">
        <f xml:space="preserve"> COUNTIF(Fact[[#This Row],[Partner.Partner Driven]], "Yes") / COUNTA(Fact[Opportunity ID])</f>
        <v>0</v>
      </c>
      <c r="AC315">
        <f>IFERROR(INDEX(Fact[[#All],[Opportunity ID]],MATCH(X315,Fact[[#All],[salestage.Sales Stage]],0))/INDEX(Fact[[#All],[Opportunity ID]],MATCH(X314,Fact[[#All],[salestage.Sales Stage]],0)), "")</f>
        <v>0.5</v>
      </c>
    </row>
    <row r="316" spans="1:29" x14ac:dyDescent="0.3">
      <c r="A316" s="1">
        <v>42152.457638888889</v>
      </c>
      <c r="B316">
        <v>315</v>
      </c>
      <c r="C316">
        <v>1</v>
      </c>
      <c r="D316">
        <v>28</v>
      </c>
      <c r="E316">
        <v>22</v>
      </c>
      <c r="F316">
        <v>24</v>
      </c>
      <c r="G316">
        <v>3905866</v>
      </c>
      <c r="H316" s="5">
        <v>390587</v>
      </c>
      <c r="I316" s="1">
        <v>22</v>
      </c>
      <c r="J316">
        <v>432</v>
      </c>
      <c r="K316">
        <v>2015</v>
      </c>
      <c r="L316">
        <v>5</v>
      </c>
      <c r="M316" t="s">
        <v>68</v>
      </c>
      <c r="N316" t="s">
        <v>13</v>
      </c>
      <c r="O316" t="s">
        <v>759</v>
      </c>
      <c r="P316">
        <v>237</v>
      </c>
      <c r="Q316">
        <v>2</v>
      </c>
      <c r="R316" t="s">
        <v>143</v>
      </c>
      <c r="S316" t="s">
        <v>13</v>
      </c>
      <c r="T316" t="s">
        <v>193</v>
      </c>
      <c r="U316" t="s">
        <v>84</v>
      </c>
      <c r="V316" t="s">
        <v>85</v>
      </c>
      <c r="W316">
        <v>0.1</v>
      </c>
      <c r="X316" t="s">
        <v>195</v>
      </c>
      <c r="Y316" t="s">
        <v>35</v>
      </c>
      <c r="Z316" t="s">
        <v>13</v>
      </c>
      <c r="AA316" t="s">
        <v>9</v>
      </c>
      <c r="AB316">
        <f xml:space="preserve"> COUNTIF(Fact[[#This Row],[Partner.Partner Driven]], "Yes") / COUNTA(Fact[Opportunity ID])</f>
        <v>0</v>
      </c>
      <c r="AC316">
        <f>IFERROR(INDEX(Fact[[#All],[Opportunity ID]],MATCH(X316,Fact[[#All],[salestage.Sales Stage]],0))/INDEX(Fact[[#All],[Opportunity ID]],MATCH(X315,Fact[[#All],[salestage.Sales Stage]],0)), "")</f>
        <v>2</v>
      </c>
    </row>
    <row r="317" spans="1:29" x14ac:dyDescent="0.3">
      <c r="A317" s="1">
        <v>42083.457638888889</v>
      </c>
      <c r="B317">
        <v>316</v>
      </c>
      <c r="C317">
        <v>2</v>
      </c>
      <c r="D317">
        <v>52</v>
      </c>
      <c r="E317">
        <v>22</v>
      </c>
      <c r="F317">
        <v>18</v>
      </c>
      <c r="G317">
        <v>856739</v>
      </c>
      <c r="H317" s="5">
        <v>171348</v>
      </c>
      <c r="I317" s="1">
        <v>13</v>
      </c>
      <c r="J317">
        <v>431</v>
      </c>
      <c r="K317">
        <v>2015</v>
      </c>
      <c r="L317">
        <v>3</v>
      </c>
      <c r="M317" t="s">
        <v>512</v>
      </c>
      <c r="N317" t="s">
        <v>13</v>
      </c>
      <c r="O317" t="s">
        <v>760</v>
      </c>
      <c r="P317">
        <v>63</v>
      </c>
      <c r="Q317">
        <v>1</v>
      </c>
      <c r="R317" t="s">
        <v>138</v>
      </c>
      <c r="S317" t="s">
        <v>13</v>
      </c>
      <c r="T317" t="s">
        <v>187</v>
      </c>
      <c r="U317" t="s">
        <v>84</v>
      </c>
      <c r="V317" t="s">
        <v>85</v>
      </c>
      <c r="W317">
        <v>0.2</v>
      </c>
      <c r="X317" t="s">
        <v>196</v>
      </c>
      <c r="Y317" t="s">
        <v>203</v>
      </c>
      <c r="Z317" t="s">
        <v>3</v>
      </c>
      <c r="AA317" t="s">
        <v>4</v>
      </c>
      <c r="AB317">
        <f xml:space="preserve"> COUNTIF(Fact[[#This Row],[Partner.Partner Driven]], "Yes") / COUNTA(Fact[Opportunity ID])</f>
        <v>0</v>
      </c>
      <c r="AC317">
        <f>IFERROR(INDEX(Fact[[#All],[Opportunity ID]],MATCH(X317,Fact[[#All],[salestage.Sales Stage]],0))/INDEX(Fact[[#All],[Opportunity ID]],MATCH(X316,Fact[[#All],[salestage.Sales Stage]],0)), "")</f>
        <v>0.5</v>
      </c>
    </row>
    <row r="318" spans="1:29" x14ac:dyDescent="0.3">
      <c r="A318" s="1">
        <v>42180.457638888889</v>
      </c>
      <c r="B318">
        <v>317</v>
      </c>
      <c r="C318">
        <v>2</v>
      </c>
      <c r="D318">
        <v>246</v>
      </c>
      <c r="E318">
        <v>67</v>
      </c>
      <c r="F318">
        <v>16</v>
      </c>
      <c r="G318">
        <v>1698708</v>
      </c>
      <c r="H318" s="5">
        <v>339742</v>
      </c>
      <c r="I318" s="1">
        <v>23</v>
      </c>
      <c r="J318">
        <v>398</v>
      </c>
      <c r="K318">
        <v>2015</v>
      </c>
      <c r="L318">
        <v>6</v>
      </c>
      <c r="M318" t="s">
        <v>70</v>
      </c>
      <c r="N318" t="s">
        <v>3</v>
      </c>
      <c r="O318" t="s">
        <v>761</v>
      </c>
      <c r="P318">
        <v>114</v>
      </c>
      <c r="Q318">
        <v>1</v>
      </c>
      <c r="R318" t="s">
        <v>138</v>
      </c>
      <c r="S318" t="s">
        <v>3</v>
      </c>
      <c r="T318" t="s">
        <v>185</v>
      </c>
      <c r="U318" t="s">
        <v>120</v>
      </c>
      <c r="V318" t="s">
        <v>72</v>
      </c>
      <c r="W318">
        <v>0.2</v>
      </c>
      <c r="X318" t="s">
        <v>196</v>
      </c>
      <c r="Y318" t="s">
        <v>397</v>
      </c>
      <c r="Z318" t="s">
        <v>13</v>
      </c>
      <c r="AA318" t="s">
        <v>4</v>
      </c>
      <c r="AB318">
        <f xml:space="preserve"> COUNTIF(Fact[[#This Row],[Partner.Partner Driven]], "Yes") / COUNTA(Fact[Opportunity ID])</f>
        <v>2.05761316872428E-3</v>
      </c>
      <c r="AC318">
        <f>IFERROR(INDEX(Fact[[#All],[Opportunity ID]],MATCH(X318,Fact[[#All],[salestage.Sales Stage]],0))/INDEX(Fact[[#All],[Opportunity ID]],MATCH(X317,Fact[[#All],[salestage.Sales Stage]],0)), "")</f>
        <v>1</v>
      </c>
    </row>
    <row r="319" spans="1:29" x14ac:dyDescent="0.3">
      <c r="A319" s="1">
        <v>42153.457638888889</v>
      </c>
      <c r="B319">
        <v>318</v>
      </c>
      <c r="C319">
        <v>4</v>
      </c>
      <c r="D319">
        <v>167</v>
      </c>
      <c r="E319">
        <v>80</v>
      </c>
      <c r="F319">
        <v>6</v>
      </c>
      <c r="G319">
        <v>3464997</v>
      </c>
      <c r="H319" s="5">
        <v>2078998</v>
      </c>
      <c r="I319" s="1">
        <v>17</v>
      </c>
      <c r="J319">
        <v>466</v>
      </c>
      <c r="K319">
        <v>2015</v>
      </c>
      <c r="L319">
        <v>5</v>
      </c>
      <c r="M319" t="s">
        <v>68</v>
      </c>
      <c r="N319" t="s">
        <v>3</v>
      </c>
      <c r="O319" t="s">
        <v>762</v>
      </c>
      <c r="P319">
        <v>212</v>
      </c>
      <c r="Q319">
        <v>2</v>
      </c>
      <c r="R319" t="s">
        <v>143</v>
      </c>
      <c r="S319" t="s">
        <v>3</v>
      </c>
      <c r="T319" t="s">
        <v>175</v>
      </c>
      <c r="U319" t="s">
        <v>99</v>
      </c>
      <c r="V319" t="s">
        <v>72</v>
      </c>
      <c r="W319">
        <v>0.6</v>
      </c>
      <c r="X319" t="s">
        <v>198</v>
      </c>
      <c r="Y319" t="s">
        <v>318</v>
      </c>
      <c r="Z319" t="s">
        <v>8</v>
      </c>
      <c r="AA319" t="s">
        <v>4</v>
      </c>
      <c r="AB319">
        <f xml:space="preserve"> COUNTIF(Fact[[#This Row],[Partner.Partner Driven]], "Yes") / COUNTA(Fact[Opportunity ID])</f>
        <v>2.05761316872428E-3</v>
      </c>
      <c r="AC319">
        <f>IFERROR(INDEX(Fact[[#All],[Opportunity ID]],MATCH(X319,Fact[[#All],[salestage.Sales Stage]],0))/INDEX(Fact[[#All],[Opportunity ID]],MATCH(X318,Fact[[#All],[salestage.Sales Stage]],0)), "")</f>
        <v>28</v>
      </c>
    </row>
    <row r="320" spans="1:29" x14ac:dyDescent="0.3">
      <c r="A320" s="1">
        <v>42138.457638888889</v>
      </c>
      <c r="B320">
        <v>319</v>
      </c>
      <c r="C320">
        <v>3</v>
      </c>
      <c r="D320">
        <v>247</v>
      </c>
      <c r="E320">
        <v>22</v>
      </c>
      <c r="F320">
        <v>21</v>
      </c>
      <c r="G320">
        <v>4697562</v>
      </c>
      <c r="H320" s="5">
        <v>1879025</v>
      </c>
      <c r="I320" s="1">
        <v>8</v>
      </c>
      <c r="J320">
        <v>491</v>
      </c>
      <c r="K320">
        <v>2015</v>
      </c>
      <c r="L320">
        <v>5</v>
      </c>
      <c r="M320" t="s">
        <v>68</v>
      </c>
      <c r="N320" t="s">
        <v>3</v>
      </c>
      <c r="O320" t="s">
        <v>763</v>
      </c>
      <c r="P320">
        <v>276</v>
      </c>
      <c r="Q320">
        <v>2</v>
      </c>
      <c r="R320" t="s">
        <v>143</v>
      </c>
      <c r="S320" t="s">
        <v>3</v>
      </c>
      <c r="T320" t="s">
        <v>190</v>
      </c>
      <c r="U320" t="s">
        <v>84</v>
      </c>
      <c r="V320" t="s">
        <v>85</v>
      </c>
      <c r="W320">
        <v>0.4</v>
      </c>
      <c r="X320" t="s">
        <v>197</v>
      </c>
      <c r="Y320" t="s">
        <v>398</v>
      </c>
      <c r="Z320" t="s">
        <v>13</v>
      </c>
      <c r="AA320" t="s">
        <v>4</v>
      </c>
      <c r="AB320">
        <f xml:space="preserve"> COUNTIF(Fact[[#This Row],[Partner.Partner Driven]], "Yes") / COUNTA(Fact[Opportunity ID])</f>
        <v>0</v>
      </c>
      <c r="AC320">
        <f>IFERROR(INDEX(Fact[[#All],[Opportunity ID]],MATCH(X320,Fact[[#All],[salestage.Sales Stage]],0))/INDEX(Fact[[#All],[Opportunity ID]],MATCH(X319,Fact[[#All],[salestage.Sales Stage]],0)), "")</f>
        <v>0.32142857142857145</v>
      </c>
    </row>
    <row r="321" spans="1:29" x14ac:dyDescent="0.3">
      <c r="A321" s="1">
        <v>42185.457638888889</v>
      </c>
      <c r="B321">
        <v>320</v>
      </c>
      <c r="C321">
        <v>1</v>
      </c>
      <c r="D321">
        <v>248</v>
      </c>
      <c r="E321">
        <v>3</v>
      </c>
      <c r="F321">
        <v>1</v>
      </c>
      <c r="G321">
        <v>4650697</v>
      </c>
      <c r="H321" s="5">
        <v>465070</v>
      </c>
      <c r="I321" s="1">
        <v>20</v>
      </c>
      <c r="J321">
        <v>526</v>
      </c>
      <c r="K321">
        <v>2015</v>
      </c>
      <c r="L321">
        <v>6</v>
      </c>
      <c r="M321" t="s">
        <v>70</v>
      </c>
      <c r="N321" t="s">
        <v>3</v>
      </c>
      <c r="O321" t="s">
        <v>765</v>
      </c>
      <c r="P321">
        <v>274</v>
      </c>
      <c r="Q321">
        <v>2</v>
      </c>
      <c r="R321" t="s">
        <v>143</v>
      </c>
      <c r="S321" t="s">
        <v>3</v>
      </c>
      <c r="T321" t="s">
        <v>170</v>
      </c>
      <c r="U321" t="s">
        <v>115</v>
      </c>
      <c r="V321" t="s">
        <v>72</v>
      </c>
      <c r="W321">
        <v>0.1</v>
      </c>
      <c r="X321" t="s">
        <v>195</v>
      </c>
      <c r="Y321" t="s">
        <v>399</v>
      </c>
      <c r="Z321" t="s">
        <v>3</v>
      </c>
      <c r="AA321" t="s">
        <v>9</v>
      </c>
      <c r="AB321">
        <f xml:space="preserve"> COUNTIF(Fact[[#This Row],[Partner.Partner Driven]], "Yes") / COUNTA(Fact[Opportunity ID])</f>
        <v>2.05761316872428E-3</v>
      </c>
      <c r="AC321">
        <f>IFERROR(INDEX(Fact[[#All],[Opportunity ID]],MATCH(X321,Fact[[#All],[salestage.Sales Stage]],0))/INDEX(Fact[[#All],[Opportunity ID]],MATCH(X320,Fact[[#All],[salestage.Sales Stage]],0)), "")</f>
        <v>0.22222222222222221</v>
      </c>
    </row>
    <row r="322" spans="1:29" x14ac:dyDescent="0.3">
      <c r="A322" s="1">
        <v>42159.457638888889</v>
      </c>
      <c r="B322">
        <v>321</v>
      </c>
      <c r="C322">
        <v>2</v>
      </c>
      <c r="D322">
        <v>238</v>
      </c>
      <c r="E322">
        <v>25</v>
      </c>
      <c r="F322">
        <v>13</v>
      </c>
      <c r="G322">
        <v>9621040</v>
      </c>
      <c r="H322" s="5">
        <v>1924208</v>
      </c>
      <c r="I322" s="1">
        <v>1</v>
      </c>
      <c r="J322">
        <v>488</v>
      </c>
      <c r="K322">
        <v>2015</v>
      </c>
      <c r="L322">
        <v>6</v>
      </c>
      <c r="M322" t="s">
        <v>70</v>
      </c>
      <c r="N322" t="s">
        <v>8</v>
      </c>
      <c r="O322" t="s">
        <v>766</v>
      </c>
      <c r="P322">
        <v>455</v>
      </c>
      <c r="Q322">
        <v>3</v>
      </c>
      <c r="R322" t="s">
        <v>9</v>
      </c>
      <c r="S322" t="s">
        <v>8</v>
      </c>
      <c r="T322" t="s">
        <v>182</v>
      </c>
      <c r="U322" t="s">
        <v>124</v>
      </c>
      <c r="V322" t="s">
        <v>72</v>
      </c>
      <c r="W322">
        <v>0.2</v>
      </c>
      <c r="X322" t="s">
        <v>196</v>
      </c>
      <c r="Y322" t="s">
        <v>389</v>
      </c>
      <c r="Z322" t="s">
        <v>3</v>
      </c>
      <c r="AA322" t="s">
        <v>4</v>
      </c>
      <c r="AB322">
        <f xml:space="preserve"> COUNTIF(Fact[[#This Row],[Partner.Partner Driven]], "Yes") / COUNTA(Fact[Opportunity ID])</f>
        <v>2.05761316872428E-3</v>
      </c>
      <c r="AC322">
        <f>IFERROR(INDEX(Fact[[#All],[Opportunity ID]],MATCH(X322,Fact[[#All],[salestage.Sales Stage]],0))/INDEX(Fact[[#All],[Opportunity ID]],MATCH(X321,Fact[[#All],[salestage.Sales Stage]],0)), "")</f>
        <v>0.5</v>
      </c>
    </row>
    <row r="323" spans="1:29" x14ac:dyDescent="0.3">
      <c r="A323" s="1">
        <v>42140.457638888889</v>
      </c>
      <c r="B323">
        <v>322</v>
      </c>
      <c r="C323">
        <v>3</v>
      </c>
      <c r="D323">
        <v>249</v>
      </c>
      <c r="E323">
        <v>22</v>
      </c>
      <c r="F323">
        <v>3</v>
      </c>
      <c r="G323">
        <v>7708066</v>
      </c>
      <c r="H323" s="5">
        <v>3083226</v>
      </c>
      <c r="I323" s="1">
        <v>3</v>
      </c>
      <c r="J323">
        <v>408</v>
      </c>
      <c r="K323">
        <v>2015</v>
      </c>
      <c r="L323">
        <v>5</v>
      </c>
      <c r="M323" t="s">
        <v>68</v>
      </c>
      <c r="N323" t="s">
        <v>13</v>
      </c>
      <c r="O323" t="s">
        <v>767</v>
      </c>
      <c r="P323">
        <v>406</v>
      </c>
      <c r="Q323">
        <v>3</v>
      </c>
      <c r="R323" t="s">
        <v>9</v>
      </c>
      <c r="S323" t="s">
        <v>13</v>
      </c>
      <c r="T323" t="s">
        <v>172</v>
      </c>
      <c r="U323" t="s">
        <v>84</v>
      </c>
      <c r="V323" t="s">
        <v>85</v>
      </c>
      <c r="W323">
        <v>0.4</v>
      </c>
      <c r="X323" t="s">
        <v>197</v>
      </c>
      <c r="Y323" t="s">
        <v>400</v>
      </c>
      <c r="Z323" t="s">
        <v>13</v>
      </c>
      <c r="AA323" t="s">
        <v>4</v>
      </c>
      <c r="AB323">
        <f xml:space="preserve"> COUNTIF(Fact[[#This Row],[Partner.Partner Driven]], "Yes") / COUNTA(Fact[Opportunity ID])</f>
        <v>0</v>
      </c>
      <c r="AC323">
        <f>IFERROR(INDEX(Fact[[#All],[Opportunity ID]],MATCH(X323,Fact[[#All],[salestage.Sales Stage]],0))/INDEX(Fact[[#All],[Opportunity ID]],MATCH(X322,Fact[[#All],[salestage.Sales Stage]],0)), "")</f>
        <v>9</v>
      </c>
    </row>
    <row r="324" spans="1:29" x14ac:dyDescent="0.3">
      <c r="A324" s="1">
        <v>42338.457638888889</v>
      </c>
      <c r="B324">
        <v>323</v>
      </c>
      <c r="C324">
        <v>1</v>
      </c>
      <c r="D324">
        <v>250</v>
      </c>
      <c r="E324">
        <v>22</v>
      </c>
      <c r="F324">
        <v>10</v>
      </c>
      <c r="G324">
        <v>2135704</v>
      </c>
      <c r="H324" s="5">
        <v>213570</v>
      </c>
      <c r="I324" s="1">
        <v>15</v>
      </c>
      <c r="J324">
        <v>625</v>
      </c>
      <c r="K324">
        <v>2015</v>
      </c>
      <c r="L324">
        <v>11</v>
      </c>
      <c r="M324" t="s">
        <v>506</v>
      </c>
      <c r="N324" t="s">
        <v>3</v>
      </c>
      <c r="O324" t="s">
        <v>768</v>
      </c>
      <c r="P324">
        <v>140</v>
      </c>
      <c r="Q324">
        <v>1</v>
      </c>
      <c r="R324" t="s">
        <v>138</v>
      </c>
      <c r="S324" t="s">
        <v>3</v>
      </c>
      <c r="T324" t="s">
        <v>179</v>
      </c>
      <c r="U324" t="s">
        <v>84</v>
      </c>
      <c r="V324" t="s">
        <v>85</v>
      </c>
      <c r="W324">
        <v>0.1</v>
      </c>
      <c r="X324" t="s">
        <v>195</v>
      </c>
      <c r="Y324" t="s">
        <v>401</v>
      </c>
      <c r="Z324" t="s">
        <v>13</v>
      </c>
      <c r="AA324" t="s">
        <v>4</v>
      </c>
      <c r="AB324">
        <f xml:space="preserve"> COUNTIF(Fact[[#This Row],[Partner.Partner Driven]], "Yes") / COUNTA(Fact[Opportunity ID])</f>
        <v>0</v>
      </c>
      <c r="AC324">
        <f>IFERROR(INDEX(Fact[[#All],[Opportunity ID]],MATCH(X324,Fact[[#All],[salestage.Sales Stage]],0))/INDEX(Fact[[#All],[Opportunity ID]],MATCH(X323,Fact[[#All],[salestage.Sales Stage]],0)), "")</f>
        <v>0.22222222222222221</v>
      </c>
    </row>
    <row r="325" spans="1:29" x14ac:dyDescent="0.3">
      <c r="A325" s="1">
        <v>42118.457638888889</v>
      </c>
      <c r="B325">
        <v>324</v>
      </c>
      <c r="C325">
        <v>1</v>
      </c>
      <c r="D325">
        <v>251</v>
      </c>
      <c r="E325">
        <v>81</v>
      </c>
      <c r="F325">
        <v>11</v>
      </c>
      <c r="G325">
        <v>4160476</v>
      </c>
      <c r="H325" s="5">
        <v>416048</v>
      </c>
      <c r="I325" s="1">
        <v>8</v>
      </c>
      <c r="J325">
        <v>440</v>
      </c>
      <c r="K325">
        <v>2015</v>
      </c>
      <c r="L325">
        <v>4</v>
      </c>
      <c r="M325" t="s">
        <v>510</v>
      </c>
      <c r="N325" t="s">
        <v>3</v>
      </c>
      <c r="O325" t="s">
        <v>769</v>
      </c>
      <c r="P325">
        <v>253</v>
      </c>
      <c r="Q325">
        <v>2</v>
      </c>
      <c r="R325" t="s">
        <v>143</v>
      </c>
      <c r="S325" t="s">
        <v>3</v>
      </c>
      <c r="T325" t="s">
        <v>180</v>
      </c>
      <c r="U325" t="s">
        <v>529</v>
      </c>
      <c r="V325" t="s">
        <v>72</v>
      </c>
      <c r="W325">
        <v>0.1</v>
      </c>
      <c r="X325" t="s">
        <v>195</v>
      </c>
      <c r="Y325" t="s">
        <v>402</v>
      </c>
      <c r="Z325" t="s">
        <v>3</v>
      </c>
      <c r="AA325" t="s">
        <v>4</v>
      </c>
      <c r="AB325">
        <f xml:space="preserve"> COUNTIF(Fact[[#This Row],[Partner.Partner Driven]], "Yes") / COUNTA(Fact[Opportunity ID])</f>
        <v>2.05761316872428E-3</v>
      </c>
      <c r="AC325">
        <f>IFERROR(INDEX(Fact[[#All],[Opportunity ID]],MATCH(X325,Fact[[#All],[salestage.Sales Stage]],0))/INDEX(Fact[[#All],[Opportunity ID]],MATCH(X324,Fact[[#All],[salestage.Sales Stage]],0)), "")</f>
        <v>1</v>
      </c>
    </row>
    <row r="326" spans="1:29" x14ac:dyDescent="0.3">
      <c r="A326" s="1">
        <v>42124.457638888889</v>
      </c>
      <c r="B326">
        <v>325</v>
      </c>
      <c r="C326">
        <v>3</v>
      </c>
      <c r="D326">
        <v>7</v>
      </c>
      <c r="E326">
        <v>22</v>
      </c>
      <c r="F326">
        <v>7</v>
      </c>
      <c r="G326">
        <v>234823</v>
      </c>
      <c r="H326" s="5">
        <v>93929</v>
      </c>
      <c r="I326" s="1">
        <v>8</v>
      </c>
      <c r="J326">
        <v>418</v>
      </c>
      <c r="K326">
        <v>2015</v>
      </c>
      <c r="L326">
        <v>4</v>
      </c>
      <c r="M326" t="s">
        <v>510</v>
      </c>
      <c r="N326" t="s">
        <v>13</v>
      </c>
      <c r="O326" t="s">
        <v>770</v>
      </c>
      <c r="P326">
        <v>25</v>
      </c>
      <c r="Q326">
        <v>1</v>
      </c>
      <c r="R326" t="s">
        <v>138</v>
      </c>
      <c r="S326" t="s">
        <v>13</v>
      </c>
      <c r="T326" t="s">
        <v>176</v>
      </c>
      <c r="U326" t="s">
        <v>84</v>
      </c>
      <c r="V326" t="s">
        <v>85</v>
      </c>
      <c r="W326">
        <v>0.4</v>
      </c>
      <c r="X326" t="s">
        <v>197</v>
      </c>
      <c r="Y326" t="s">
        <v>14</v>
      </c>
      <c r="Z326" t="s">
        <v>3</v>
      </c>
      <c r="AA326" t="s">
        <v>9</v>
      </c>
      <c r="AB326">
        <f xml:space="preserve"> COUNTIF(Fact[[#This Row],[Partner.Partner Driven]], "Yes") / COUNTA(Fact[Opportunity ID])</f>
        <v>0</v>
      </c>
      <c r="AC326">
        <f>IFERROR(INDEX(Fact[[#All],[Opportunity ID]],MATCH(X326,Fact[[#All],[salestage.Sales Stage]],0))/INDEX(Fact[[#All],[Opportunity ID]],MATCH(X325,Fact[[#All],[salestage.Sales Stage]],0)), "")</f>
        <v>4.5</v>
      </c>
    </row>
    <row r="327" spans="1:29" x14ac:dyDescent="0.3">
      <c r="A327" s="1">
        <v>42174.457638888889</v>
      </c>
      <c r="B327">
        <v>326</v>
      </c>
      <c r="C327">
        <v>1</v>
      </c>
      <c r="D327">
        <v>252</v>
      </c>
      <c r="E327">
        <v>22</v>
      </c>
      <c r="F327">
        <v>13</v>
      </c>
      <c r="G327">
        <v>3251419</v>
      </c>
      <c r="H327" s="5">
        <v>325142</v>
      </c>
      <c r="I327" s="1">
        <v>16</v>
      </c>
      <c r="J327">
        <v>460</v>
      </c>
      <c r="K327">
        <v>2015</v>
      </c>
      <c r="L327">
        <v>6</v>
      </c>
      <c r="M327" t="s">
        <v>70</v>
      </c>
      <c r="N327" t="s">
        <v>3</v>
      </c>
      <c r="O327" t="s">
        <v>771</v>
      </c>
      <c r="P327">
        <v>202</v>
      </c>
      <c r="Q327">
        <v>2</v>
      </c>
      <c r="R327" t="s">
        <v>143</v>
      </c>
      <c r="S327" t="s">
        <v>3</v>
      </c>
      <c r="T327" t="s">
        <v>182</v>
      </c>
      <c r="U327" t="s">
        <v>84</v>
      </c>
      <c r="V327" t="s">
        <v>85</v>
      </c>
      <c r="W327">
        <v>0.1</v>
      </c>
      <c r="X327" t="s">
        <v>195</v>
      </c>
      <c r="Y327" t="s">
        <v>403</v>
      </c>
      <c r="Z327" t="s">
        <v>13</v>
      </c>
      <c r="AA327" t="s">
        <v>4</v>
      </c>
      <c r="AB327">
        <f xml:space="preserve"> COUNTIF(Fact[[#This Row],[Partner.Partner Driven]], "Yes") / COUNTA(Fact[Opportunity ID])</f>
        <v>0</v>
      </c>
      <c r="AC327">
        <f>IFERROR(INDEX(Fact[[#All],[Opportunity ID]],MATCH(X327,Fact[[#All],[salestage.Sales Stage]],0))/INDEX(Fact[[#All],[Opportunity ID]],MATCH(X326,Fact[[#All],[salestage.Sales Stage]],0)), "")</f>
        <v>0.22222222222222221</v>
      </c>
    </row>
    <row r="328" spans="1:29" x14ac:dyDescent="0.3">
      <c r="A328" s="1">
        <v>42124.457638888889</v>
      </c>
      <c r="B328">
        <v>327</v>
      </c>
      <c r="C328">
        <v>1</v>
      </c>
      <c r="D328">
        <v>210</v>
      </c>
      <c r="E328">
        <v>22</v>
      </c>
      <c r="F328">
        <v>7</v>
      </c>
      <c r="G328">
        <v>590086</v>
      </c>
      <c r="H328" s="5">
        <v>59009</v>
      </c>
      <c r="I328" s="1">
        <v>3</v>
      </c>
      <c r="J328">
        <v>423</v>
      </c>
      <c r="K328">
        <v>2015</v>
      </c>
      <c r="L328">
        <v>4</v>
      </c>
      <c r="M328" t="s">
        <v>510</v>
      </c>
      <c r="N328" t="s">
        <v>8</v>
      </c>
      <c r="O328" t="s">
        <v>772</v>
      </c>
      <c r="P328">
        <v>48</v>
      </c>
      <c r="Q328">
        <v>1</v>
      </c>
      <c r="R328" t="s">
        <v>138</v>
      </c>
      <c r="S328" t="s">
        <v>8</v>
      </c>
      <c r="T328" t="s">
        <v>176</v>
      </c>
      <c r="U328" t="s">
        <v>84</v>
      </c>
      <c r="V328" t="s">
        <v>85</v>
      </c>
      <c r="W328">
        <v>0.1</v>
      </c>
      <c r="X328" t="s">
        <v>195</v>
      </c>
      <c r="Y328" t="s">
        <v>361</v>
      </c>
      <c r="Z328" t="s">
        <v>3</v>
      </c>
      <c r="AA328" t="s">
        <v>4</v>
      </c>
      <c r="AB328">
        <f xml:space="preserve"> COUNTIF(Fact[[#This Row],[Partner.Partner Driven]], "Yes") / COUNTA(Fact[Opportunity ID])</f>
        <v>0</v>
      </c>
      <c r="AC328">
        <f>IFERROR(INDEX(Fact[[#All],[Opportunity ID]],MATCH(X328,Fact[[#All],[salestage.Sales Stage]],0))/INDEX(Fact[[#All],[Opportunity ID]],MATCH(X327,Fact[[#All],[salestage.Sales Stage]],0)), "")</f>
        <v>1</v>
      </c>
    </row>
    <row r="329" spans="1:29" x14ac:dyDescent="0.3">
      <c r="A329" s="1">
        <v>42369.457638888889</v>
      </c>
      <c r="B329">
        <v>328</v>
      </c>
      <c r="C329">
        <v>1</v>
      </c>
      <c r="D329">
        <v>253</v>
      </c>
      <c r="E329">
        <v>22</v>
      </c>
      <c r="F329">
        <v>18</v>
      </c>
      <c r="G329">
        <v>5929669</v>
      </c>
      <c r="H329" s="5">
        <v>592967</v>
      </c>
      <c r="I329" s="1">
        <v>6</v>
      </c>
      <c r="J329">
        <v>724</v>
      </c>
      <c r="K329">
        <v>2015</v>
      </c>
      <c r="L329">
        <v>12</v>
      </c>
      <c r="M329" t="s">
        <v>508</v>
      </c>
      <c r="N329" t="s">
        <v>3</v>
      </c>
      <c r="O329" t="s">
        <v>773</v>
      </c>
      <c r="P329">
        <v>337</v>
      </c>
      <c r="Q329">
        <v>3</v>
      </c>
      <c r="R329" t="s">
        <v>9</v>
      </c>
      <c r="S329" t="s">
        <v>3</v>
      </c>
      <c r="T329" t="s">
        <v>187</v>
      </c>
      <c r="U329" t="s">
        <v>84</v>
      </c>
      <c r="V329" t="s">
        <v>85</v>
      </c>
      <c r="W329">
        <v>0.1</v>
      </c>
      <c r="X329" t="s">
        <v>195</v>
      </c>
      <c r="Y329" t="s">
        <v>404</v>
      </c>
      <c r="Z329" t="s">
        <v>8</v>
      </c>
      <c r="AA329" t="s">
        <v>9</v>
      </c>
      <c r="AB329">
        <f xml:space="preserve"> COUNTIF(Fact[[#This Row],[Partner.Partner Driven]], "Yes") / COUNTA(Fact[Opportunity ID])</f>
        <v>0</v>
      </c>
      <c r="AC329">
        <f>IFERROR(INDEX(Fact[[#All],[Opportunity ID]],MATCH(X329,Fact[[#All],[salestage.Sales Stage]],0))/INDEX(Fact[[#All],[Opportunity ID]],MATCH(X328,Fact[[#All],[salestage.Sales Stage]],0)), "")</f>
        <v>1</v>
      </c>
    </row>
    <row r="330" spans="1:29" x14ac:dyDescent="0.3">
      <c r="A330" s="1">
        <v>42369.457638888889</v>
      </c>
      <c r="B330">
        <v>329</v>
      </c>
      <c r="C330">
        <v>1</v>
      </c>
      <c r="D330">
        <v>254</v>
      </c>
      <c r="E330">
        <v>22</v>
      </c>
      <c r="F330">
        <v>14</v>
      </c>
      <c r="G330">
        <v>2532027</v>
      </c>
      <c r="H330" s="5">
        <v>253203</v>
      </c>
      <c r="I330" s="1">
        <v>10</v>
      </c>
      <c r="J330">
        <v>600</v>
      </c>
      <c r="K330">
        <v>2015</v>
      </c>
      <c r="L330">
        <v>12</v>
      </c>
      <c r="M330" t="s">
        <v>508</v>
      </c>
      <c r="N330" t="s">
        <v>3</v>
      </c>
      <c r="O330" t="s">
        <v>774</v>
      </c>
      <c r="P330">
        <v>165</v>
      </c>
      <c r="Q330">
        <v>2</v>
      </c>
      <c r="R330" t="s">
        <v>143</v>
      </c>
      <c r="S330" t="s">
        <v>3</v>
      </c>
      <c r="T330" t="s">
        <v>183</v>
      </c>
      <c r="U330" t="s">
        <v>84</v>
      </c>
      <c r="V330" t="s">
        <v>85</v>
      </c>
      <c r="W330">
        <v>0.1</v>
      </c>
      <c r="X330" t="s">
        <v>195</v>
      </c>
      <c r="Y330" t="s">
        <v>405</v>
      </c>
      <c r="Z330" t="s">
        <v>8</v>
      </c>
      <c r="AA330" t="s">
        <v>9</v>
      </c>
      <c r="AB330">
        <f xml:space="preserve"> COUNTIF(Fact[[#This Row],[Partner.Partner Driven]], "Yes") / COUNTA(Fact[Opportunity ID])</f>
        <v>0</v>
      </c>
      <c r="AC330">
        <f>IFERROR(INDEX(Fact[[#All],[Opportunity ID]],MATCH(X330,Fact[[#All],[salestage.Sales Stage]],0))/INDEX(Fact[[#All],[Opportunity ID]],MATCH(X329,Fact[[#All],[salestage.Sales Stage]],0)), "")</f>
        <v>1</v>
      </c>
    </row>
    <row r="331" spans="1:29" x14ac:dyDescent="0.3">
      <c r="A331" s="1">
        <v>42065.457638888889</v>
      </c>
      <c r="B331">
        <v>330</v>
      </c>
      <c r="C331">
        <v>2</v>
      </c>
      <c r="D331">
        <v>250</v>
      </c>
      <c r="E331">
        <v>22</v>
      </c>
      <c r="F331">
        <v>16</v>
      </c>
      <c r="G331">
        <v>3194794</v>
      </c>
      <c r="H331" s="5">
        <v>638959</v>
      </c>
      <c r="I331" s="1">
        <v>2</v>
      </c>
      <c r="J331">
        <v>424</v>
      </c>
      <c r="K331">
        <v>2015</v>
      </c>
      <c r="L331">
        <v>3</v>
      </c>
      <c r="M331" t="s">
        <v>512</v>
      </c>
      <c r="N331" t="s">
        <v>3</v>
      </c>
      <c r="O331" t="s">
        <v>776</v>
      </c>
      <c r="P331">
        <v>196</v>
      </c>
      <c r="Q331">
        <v>2</v>
      </c>
      <c r="R331" t="s">
        <v>143</v>
      </c>
      <c r="S331" t="s">
        <v>3</v>
      </c>
      <c r="T331" t="s">
        <v>185</v>
      </c>
      <c r="U331" t="s">
        <v>84</v>
      </c>
      <c r="V331" t="s">
        <v>85</v>
      </c>
      <c r="W331">
        <v>0.2</v>
      </c>
      <c r="X331" t="s">
        <v>196</v>
      </c>
      <c r="Y331" t="s">
        <v>401</v>
      </c>
      <c r="Z331" t="s">
        <v>13</v>
      </c>
      <c r="AA331" t="s">
        <v>4</v>
      </c>
      <c r="AB331">
        <f xml:space="preserve"> COUNTIF(Fact[[#This Row],[Partner.Partner Driven]], "Yes") / COUNTA(Fact[Opportunity ID])</f>
        <v>0</v>
      </c>
      <c r="AC331">
        <f>IFERROR(INDEX(Fact[[#All],[Opportunity ID]],MATCH(X331,Fact[[#All],[salestage.Sales Stage]],0))/INDEX(Fact[[#All],[Opportunity ID]],MATCH(X330,Fact[[#All],[salestage.Sales Stage]],0)), "")</f>
        <v>0.5</v>
      </c>
    </row>
    <row r="332" spans="1:29" x14ac:dyDescent="0.3">
      <c r="A332" s="1">
        <v>42095.457638888889</v>
      </c>
      <c r="B332">
        <v>331</v>
      </c>
      <c r="C332">
        <v>2</v>
      </c>
      <c r="D332">
        <v>255</v>
      </c>
      <c r="E332">
        <v>22</v>
      </c>
      <c r="F332">
        <v>11</v>
      </c>
      <c r="G332">
        <v>1757171</v>
      </c>
      <c r="H332" s="5">
        <v>351434</v>
      </c>
      <c r="I332" s="1">
        <v>1</v>
      </c>
      <c r="J332">
        <v>365</v>
      </c>
      <c r="K332">
        <v>2015</v>
      </c>
      <c r="L332">
        <v>4</v>
      </c>
      <c r="M332" t="s">
        <v>510</v>
      </c>
      <c r="N332" t="s">
        <v>3</v>
      </c>
      <c r="O332" t="s">
        <v>777</v>
      </c>
      <c r="P332">
        <v>118</v>
      </c>
      <c r="Q332">
        <v>1</v>
      </c>
      <c r="R332" t="s">
        <v>138</v>
      </c>
      <c r="S332" t="s">
        <v>3</v>
      </c>
      <c r="T332" t="s">
        <v>180</v>
      </c>
      <c r="U332" t="s">
        <v>84</v>
      </c>
      <c r="V332" t="s">
        <v>85</v>
      </c>
      <c r="W332">
        <v>0.2</v>
      </c>
      <c r="X332" t="s">
        <v>196</v>
      </c>
      <c r="Y332" t="s">
        <v>406</v>
      </c>
      <c r="Z332" t="s">
        <v>13</v>
      </c>
      <c r="AA332" t="s">
        <v>9</v>
      </c>
      <c r="AB332">
        <f xml:space="preserve"> COUNTIF(Fact[[#This Row],[Partner.Partner Driven]], "Yes") / COUNTA(Fact[Opportunity ID])</f>
        <v>0</v>
      </c>
      <c r="AC332">
        <f>IFERROR(INDEX(Fact[[#All],[Opportunity ID]],MATCH(X332,Fact[[#All],[salestage.Sales Stage]],0))/INDEX(Fact[[#All],[Opportunity ID]],MATCH(X331,Fact[[#All],[salestage.Sales Stage]],0)), "")</f>
        <v>1</v>
      </c>
    </row>
    <row r="333" spans="1:29" x14ac:dyDescent="0.3">
      <c r="A333" s="1">
        <v>42155.457638888889</v>
      </c>
      <c r="B333">
        <v>332</v>
      </c>
      <c r="C333">
        <v>1</v>
      </c>
      <c r="D333">
        <v>256</v>
      </c>
      <c r="E333">
        <v>22</v>
      </c>
      <c r="F333">
        <v>22</v>
      </c>
      <c r="G333">
        <v>2758189</v>
      </c>
      <c r="H333" s="5">
        <v>275819</v>
      </c>
      <c r="I333" s="1">
        <v>9</v>
      </c>
      <c r="J333">
        <v>448</v>
      </c>
      <c r="K333">
        <v>2015</v>
      </c>
      <c r="L333">
        <v>5</v>
      </c>
      <c r="M333" t="s">
        <v>68</v>
      </c>
      <c r="N333" t="s">
        <v>13</v>
      </c>
      <c r="O333" t="s">
        <v>778</v>
      </c>
      <c r="P333">
        <v>180</v>
      </c>
      <c r="Q333">
        <v>2</v>
      </c>
      <c r="R333" t="s">
        <v>143</v>
      </c>
      <c r="S333" t="s">
        <v>13</v>
      </c>
      <c r="T333" t="s">
        <v>191</v>
      </c>
      <c r="U333" t="s">
        <v>84</v>
      </c>
      <c r="V333" t="s">
        <v>85</v>
      </c>
      <c r="W333">
        <v>0.1</v>
      </c>
      <c r="X333" t="s">
        <v>195</v>
      </c>
      <c r="Y333" t="s">
        <v>407</v>
      </c>
      <c r="Z333" t="s">
        <v>13</v>
      </c>
      <c r="AA333" t="s">
        <v>4</v>
      </c>
      <c r="AB333">
        <f xml:space="preserve"> COUNTIF(Fact[[#This Row],[Partner.Partner Driven]], "Yes") / COUNTA(Fact[Opportunity ID])</f>
        <v>0</v>
      </c>
      <c r="AC333">
        <f>IFERROR(INDEX(Fact[[#All],[Opportunity ID]],MATCH(X333,Fact[[#All],[salestage.Sales Stage]],0))/INDEX(Fact[[#All],[Opportunity ID]],MATCH(X332,Fact[[#All],[salestage.Sales Stage]],0)), "")</f>
        <v>2</v>
      </c>
    </row>
    <row r="334" spans="1:29" x14ac:dyDescent="0.3">
      <c r="A334" s="1">
        <v>42369.457638888889</v>
      </c>
      <c r="B334">
        <v>333</v>
      </c>
      <c r="C334">
        <v>1</v>
      </c>
      <c r="D334">
        <v>20</v>
      </c>
      <c r="E334">
        <v>13</v>
      </c>
      <c r="F334">
        <v>23</v>
      </c>
      <c r="G334">
        <v>3378308</v>
      </c>
      <c r="H334" s="5">
        <v>337831</v>
      </c>
      <c r="I334" s="1">
        <v>31</v>
      </c>
      <c r="J334">
        <v>426</v>
      </c>
      <c r="K334">
        <v>2015</v>
      </c>
      <c r="L334">
        <v>12</v>
      </c>
      <c r="M334" t="s">
        <v>508</v>
      </c>
      <c r="N334" t="s">
        <v>3</v>
      </c>
      <c r="O334" t="s">
        <v>779</v>
      </c>
      <c r="P334">
        <v>208</v>
      </c>
      <c r="Q334">
        <v>2</v>
      </c>
      <c r="R334" t="s">
        <v>143</v>
      </c>
      <c r="S334" t="s">
        <v>3</v>
      </c>
      <c r="T334" t="s">
        <v>192</v>
      </c>
      <c r="U334" t="s">
        <v>97</v>
      </c>
      <c r="V334" t="s">
        <v>72</v>
      </c>
      <c r="W334">
        <v>0.1</v>
      </c>
      <c r="X334" t="s">
        <v>195</v>
      </c>
      <c r="Y334" t="s">
        <v>27</v>
      </c>
      <c r="Z334" t="s">
        <v>3</v>
      </c>
      <c r="AA334" t="s">
        <v>6</v>
      </c>
      <c r="AB334">
        <f xml:space="preserve"> COUNTIF(Fact[[#This Row],[Partner.Partner Driven]], "Yes") / COUNTA(Fact[Opportunity ID])</f>
        <v>2.05761316872428E-3</v>
      </c>
      <c r="AC334">
        <f>IFERROR(INDEX(Fact[[#All],[Opportunity ID]],MATCH(X334,Fact[[#All],[salestage.Sales Stage]],0))/INDEX(Fact[[#All],[Opportunity ID]],MATCH(X333,Fact[[#All],[salestage.Sales Stage]],0)), "")</f>
        <v>1</v>
      </c>
    </row>
    <row r="335" spans="1:29" x14ac:dyDescent="0.3">
      <c r="A335" s="1">
        <v>42369.457638888889</v>
      </c>
      <c r="B335">
        <v>334</v>
      </c>
      <c r="C335">
        <v>1</v>
      </c>
      <c r="D335">
        <v>257</v>
      </c>
      <c r="E335">
        <v>82</v>
      </c>
      <c r="F335">
        <v>1</v>
      </c>
      <c r="G335">
        <v>8821180</v>
      </c>
      <c r="H335" s="5">
        <v>882118</v>
      </c>
      <c r="I335" s="1">
        <v>26</v>
      </c>
      <c r="J335">
        <v>645</v>
      </c>
      <c r="K335">
        <v>2015</v>
      </c>
      <c r="L335">
        <v>12</v>
      </c>
      <c r="M335" t="s">
        <v>508</v>
      </c>
      <c r="N335" t="s">
        <v>8</v>
      </c>
      <c r="O335" t="s">
        <v>780</v>
      </c>
      <c r="P335">
        <v>435</v>
      </c>
      <c r="Q335">
        <v>3</v>
      </c>
      <c r="R335" t="s">
        <v>9</v>
      </c>
      <c r="S335" t="s">
        <v>8</v>
      </c>
      <c r="T335" t="s">
        <v>170</v>
      </c>
      <c r="U335" t="s">
        <v>117</v>
      </c>
      <c r="V335" t="s">
        <v>72</v>
      </c>
      <c r="W335">
        <v>0.1</v>
      </c>
      <c r="X335" t="s">
        <v>195</v>
      </c>
      <c r="Y335" t="s">
        <v>408</v>
      </c>
      <c r="Z335" t="s">
        <v>3</v>
      </c>
      <c r="AA335" t="s">
        <v>6</v>
      </c>
      <c r="AB335">
        <f xml:space="preserve"> COUNTIF(Fact[[#This Row],[Partner.Partner Driven]], "Yes") / COUNTA(Fact[Opportunity ID])</f>
        <v>2.05761316872428E-3</v>
      </c>
      <c r="AC335">
        <f>IFERROR(INDEX(Fact[[#All],[Opportunity ID]],MATCH(X335,Fact[[#All],[salestage.Sales Stage]],0))/INDEX(Fact[[#All],[Opportunity ID]],MATCH(X334,Fact[[#All],[salestage.Sales Stage]],0)), "")</f>
        <v>1</v>
      </c>
    </row>
    <row r="336" spans="1:29" x14ac:dyDescent="0.3">
      <c r="A336" s="1">
        <v>42369.457638888889</v>
      </c>
      <c r="B336">
        <v>335</v>
      </c>
      <c r="C336">
        <v>1</v>
      </c>
      <c r="D336">
        <v>258</v>
      </c>
      <c r="E336">
        <v>82</v>
      </c>
      <c r="F336">
        <v>21</v>
      </c>
      <c r="G336">
        <v>5812922</v>
      </c>
      <c r="H336" s="5">
        <v>581292</v>
      </c>
      <c r="I336" s="1">
        <v>17</v>
      </c>
      <c r="J336">
        <v>409</v>
      </c>
      <c r="K336">
        <v>2015</v>
      </c>
      <c r="L336">
        <v>12</v>
      </c>
      <c r="M336" t="s">
        <v>508</v>
      </c>
      <c r="N336" t="s">
        <v>8</v>
      </c>
      <c r="O336" t="s">
        <v>781</v>
      </c>
      <c r="P336">
        <v>334</v>
      </c>
      <c r="Q336">
        <v>3</v>
      </c>
      <c r="R336" t="s">
        <v>9</v>
      </c>
      <c r="S336" t="s">
        <v>8</v>
      </c>
      <c r="T336" t="s">
        <v>190</v>
      </c>
      <c r="U336" t="s">
        <v>117</v>
      </c>
      <c r="V336" t="s">
        <v>72</v>
      </c>
      <c r="W336">
        <v>0.1</v>
      </c>
      <c r="X336" t="s">
        <v>195</v>
      </c>
      <c r="Y336" t="s">
        <v>409</v>
      </c>
      <c r="Z336" t="s">
        <v>8</v>
      </c>
      <c r="AA336" t="s">
        <v>6</v>
      </c>
      <c r="AB336">
        <f xml:space="preserve"> COUNTIF(Fact[[#This Row],[Partner.Partner Driven]], "Yes") / COUNTA(Fact[Opportunity ID])</f>
        <v>2.05761316872428E-3</v>
      </c>
      <c r="AC336">
        <f>IFERROR(INDEX(Fact[[#All],[Opportunity ID]],MATCH(X336,Fact[[#All],[salestage.Sales Stage]],0))/INDEX(Fact[[#All],[Opportunity ID]],MATCH(X335,Fact[[#All],[salestage.Sales Stage]],0)), "")</f>
        <v>1</v>
      </c>
    </row>
    <row r="337" spans="1:29" x14ac:dyDescent="0.3">
      <c r="A337" s="1">
        <v>42369.457638888889</v>
      </c>
      <c r="B337">
        <v>336</v>
      </c>
      <c r="C337">
        <v>1</v>
      </c>
      <c r="D337">
        <v>259</v>
      </c>
      <c r="E337">
        <v>54</v>
      </c>
      <c r="F337">
        <v>21</v>
      </c>
      <c r="G337">
        <v>7695672</v>
      </c>
      <c r="H337" s="5">
        <v>769567</v>
      </c>
      <c r="I337" s="1">
        <v>7</v>
      </c>
      <c r="J337">
        <v>603</v>
      </c>
      <c r="K337">
        <v>2015</v>
      </c>
      <c r="L337">
        <v>12</v>
      </c>
      <c r="M337" t="s">
        <v>508</v>
      </c>
      <c r="N337" t="s">
        <v>13</v>
      </c>
      <c r="O337" t="s">
        <v>782</v>
      </c>
      <c r="P337">
        <v>405</v>
      </c>
      <c r="Q337">
        <v>3</v>
      </c>
      <c r="R337" t="s">
        <v>9</v>
      </c>
      <c r="S337" t="s">
        <v>13</v>
      </c>
      <c r="T337" t="s">
        <v>190</v>
      </c>
      <c r="U337" t="s">
        <v>514</v>
      </c>
      <c r="V337" t="s">
        <v>72</v>
      </c>
      <c r="W337">
        <v>0.1</v>
      </c>
      <c r="X337" t="s">
        <v>195</v>
      </c>
      <c r="Y337" t="s">
        <v>410</v>
      </c>
      <c r="Z337" t="s">
        <v>3</v>
      </c>
      <c r="AA337" t="s">
        <v>6</v>
      </c>
      <c r="AB337">
        <f xml:space="preserve"> COUNTIF(Fact[[#This Row],[Partner.Partner Driven]], "Yes") / COUNTA(Fact[Opportunity ID])</f>
        <v>2.05761316872428E-3</v>
      </c>
      <c r="AC337">
        <f>IFERROR(INDEX(Fact[[#All],[Opportunity ID]],MATCH(X337,Fact[[#All],[salestage.Sales Stage]],0))/INDEX(Fact[[#All],[Opportunity ID]],MATCH(X336,Fact[[#All],[salestage.Sales Stage]],0)), "")</f>
        <v>1</v>
      </c>
    </row>
    <row r="338" spans="1:29" x14ac:dyDescent="0.3">
      <c r="A338" s="1">
        <v>42174.457638888889</v>
      </c>
      <c r="B338">
        <v>337</v>
      </c>
      <c r="C338">
        <v>1</v>
      </c>
      <c r="D338">
        <v>260</v>
      </c>
      <c r="E338">
        <v>22</v>
      </c>
      <c r="F338">
        <v>22</v>
      </c>
      <c r="G338">
        <v>6168120</v>
      </c>
      <c r="H338" s="5">
        <v>616812</v>
      </c>
      <c r="I338" s="1">
        <v>6</v>
      </c>
      <c r="J338">
        <v>529</v>
      </c>
      <c r="K338">
        <v>2015</v>
      </c>
      <c r="L338">
        <v>6</v>
      </c>
      <c r="M338" t="s">
        <v>70</v>
      </c>
      <c r="N338" t="s">
        <v>3</v>
      </c>
      <c r="O338" t="s">
        <v>783</v>
      </c>
      <c r="P338">
        <v>350</v>
      </c>
      <c r="Q338">
        <v>3</v>
      </c>
      <c r="R338" t="s">
        <v>9</v>
      </c>
      <c r="S338" t="s">
        <v>3</v>
      </c>
      <c r="T338" t="s">
        <v>191</v>
      </c>
      <c r="U338" t="s">
        <v>84</v>
      </c>
      <c r="V338" t="s">
        <v>85</v>
      </c>
      <c r="W338">
        <v>0.1</v>
      </c>
      <c r="X338" t="s">
        <v>195</v>
      </c>
      <c r="Y338" t="s">
        <v>411</v>
      </c>
      <c r="Z338" t="s">
        <v>13</v>
      </c>
      <c r="AA338" t="s">
        <v>9</v>
      </c>
      <c r="AB338">
        <f xml:space="preserve"> COUNTIF(Fact[[#This Row],[Partner.Partner Driven]], "Yes") / COUNTA(Fact[Opportunity ID])</f>
        <v>0</v>
      </c>
      <c r="AC338">
        <f>IFERROR(INDEX(Fact[[#All],[Opportunity ID]],MATCH(X338,Fact[[#All],[salestage.Sales Stage]],0))/INDEX(Fact[[#All],[Opportunity ID]],MATCH(X337,Fact[[#All],[salestage.Sales Stage]],0)), "")</f>
        <v>1</v>
      </c>
    </row>
    <row r="339" spans="1:29" x14ac:dyDescent="0.3">
      <c r="A339" s="1">
        <v>42035.457638888889</v>
      </c>
      <c r="B339">
        <v>338</v>
      </c>
      <c r="C339">
        <v>4</v>
      </c>
      <c r="D339">
        <v>261</v>
      </c>
      <c r="E339">
        <v>22</v>
      </c>
      <c r="F339">
        <v>18</v>
      </c>
      <c r="G339">
        <v>2042843</v>
      </c>
      <c r="H339" s="5">
        <v>1225706</v>
      </c>
      <c r="I339" s="1">
        <v>26</v>
      </c>
      <c r="J339">
        <v>370</v>
      </c>
      <c r="K339">
        <v>2015</v>
      </c>
      <c r="L339">
        <v>1</v>
      </c>
      <c r="M339" t="s">
        <v>511</v>
      </c>
      <c r="N339" t="s">
        <v>8</v>
      </c>
      <c r="O339" t="s">
        <v>784</v>
      </c>
      <c r="P339">
        <v>134</v>
      </c>
      <c r="Q339">
        <v>1</v>
      </c>
      <c r="R339" t="s">
        <v>138</v>
      </c>
      <c r="S339" t="s">
        <v>8</v>
      </c>
      <c r="T339" t="s">
        <v>187</v>
      </c>
      <c r="U339" t="s">
        <v>84</v>
      </c>
      <c r="V339" t="s">
        <v>85</v>
      </c>
      <c r="W339">
        <v>0.6</v>
      </c>
      <c r="X339" t="s">
        <v>198</v>
      </c>
      <c r="Y339" t="s">
        <v>412</v>
      </c>
      <c r="Z339" t="s">
        <v>8</v>
      </c>
      <c r="AA339" t="s">
        <v>9</v>
      </c>
      <c r="AB339">
        <f xml:space="preserve"> COUNTIF(Fact[[#This Row],[Partner.Partner Driven]], "Yes") / COUNTA(Fact[Opportunity ID])</f>
        <v>0</v>
      </c>
      <c r="AC339">
        <f>IFERROR(INDEX(Fact[[#All],[Opportunity ID]],MATCH(X339,Fact[[#All],[salestage.Sales Stage]],0))/INDEX(Fact[[#All],[Opportunity ID]],MATCH(X338,Fact[[#All],[salestage.Sales Stage]],0)), "")</f>
        <v>14</v>
      </c>
    </row>
    <row r="340" spans="1:29" x14ac:dyDescent="0.3">
      <c r="A340" s="1">
        <v>42095.457638888889</v>
      </c>
      <c r="B340">
        <v>339</v>
      </c>
      <c r="C340">
        <v>2</v>
      </c>
      <c r="D340">
        <v>262</v>
      </c>
      <c r="E340">
        <v>22</v>
      </c>
      <c r="F340">
        <v>18</v>
      </c>
      <c r="G340">
        <v>5112312</v>
      </c>
      <c r="H340" s="5">
        <v>1022462</v>
      </c>
      <c r="I340" s="1">
        <v>1</v>
      </c>
      <c r="J340">
        <v>396</v>
      </c>
      <c r="K340">
        <v>2015</v>
      </c>
      <c r="L340">
        <v>4</v>
      </c>
      <c r="M340" t="s">
        <v>510</v>
      </c>
      <c r="N340" t="s">
        <v>8</v>
      </c>
      <c r="O340" t="s">
        <v>785</v>
      </c>
      <c r="P340">
        <v>302</v>
      </c>
      <c r="Q340">
        <v>2</v>
      </c>
      <c r="R340" t="s">
        <v>143</v>
      </c>
      <c r="S340" t="s">
        <v>8</v>
      </c>
      <c r="T340" t="s">
        <v>187</v>
      </c>
      <c r="U340" t="s">
        <v>84</v>
      </c>
      <c r="V340" t="s">
        <v>85</v>
      </c>
      <c r="W340">
        <v>0.2</v>
      </c>
      <c r="X340" t="s">
        <v>196</v>
      </c>
      <c r="Y340" t="s">
        <v>413</v>
      </c>
      <c r="Z340" t="s">
        <v>8</v>
      </c>
      <c r="AA340" t="s">
        <v>4</v>
      </c>
      <c r="AB340">
        <f xml:space="preserve"> COUNTIF(Fact[[#This Row],[Partner.Partner Driven]], "Yes") / COUNTA(Fact[Opportunity ID])</f>
        <v>0</v>
      </c>
      <c r="AC340">
        <f>IFERROR(INDEX(Fact[[#All],[Opportunity ID]],MATCH(X340,Fact[[#All],[salestage.Sales Stage]],0))/INDEX(Fact[[#All],[Opportunity ID]],MATCH(X339,Fact[[#All],[salestage.Sales Stage]],0)), "")</f>
        <v>3.5714285714285712E-2</v>
      </c>
    </row>
    <row r="341" spans="1:29" x14ac:dyDescent="0.3">
      <c r="A341" s="1">
        <v>42124.457638888889</v>
      </c>
      <c r="B341">
        <v>340</v>
      </c>
      <c r="C341">
        <v>4</v>
      </c>
      <c r="D341">
        <v>263</v>
      </c>
      <c r="E341">
        <v>22</v>
      </c>
      <c r="F341">
        <v>2</v>
      </c>
      <c r="G341">
        <v>4780762</v>
      </c>
      <c r="H341" s="5">
        <v>2868457</v>
      </c>
      <c r="I341" s="1">
        <v>1</v>
      </c>
      <c r="J341">
        <v>425</v>
      </c>
      <c r="K341">
        <v>2015</v>
      </c>
      <c r="L341">
        <v>4</v>
      </c>
      <c r="M341" t="s">
        <v>510</v>
      </c>
      <c r="N341" t="s">
        <v>13</v>
      </c>
      <c r="O341" t="s">
        <v>787</v>
      </c>
      <c r="P341">
        <v>282</v>
      </c>
      <c r="Q341">
        <v>2</v>
      </c>
      <c r="R341" t="s">
        <v>143</v>
      </c>
      <c r="S341" t="s">
        <v>13</v>
      </c>
      <c r="T341" t="s">
        <v>171</v>
      </c>
      <c r="U341" t="s">
        <v>84</v>
      </c>
      <c r="V341" t="s">
        <v>85</v>
      </c>
      <c r="W341">
        <v>0.6</v>
      </c>
      <c r="X341" t="s">
        <v>198</v>
      </c>
      <c r="Y341" t="s">
        <v>414</v>
      </c>
      <c r="Z341" t="s">
        <v>8</v>
      </c>
      <c r="AA341" t="s">
        <v>4</v>
      </c>
      <c r="AB341">
        <f xml:space="preserve"> COUNTIF(Fact[[#This Row],[Partner.Partner Driven]], "Yes") / COUNTA(Fact[Opportunity ID])</f>
        <v>0</v>
      </c>
      <c r="AC341">
        <f>IFERROR(INDEX(Fact[[#All],[Opportunity ID]],MATCH(X341,Fact[[#All],[salestage.Sales Stage]],0))/INDEX(Fact[[#All],[Opportunity ID]],MATCH(X340,Fact[[#All],[salestage.Sales Stage]],0)), "")</f>
        <v>28</v>
      </c>
    </row>
    <row r="342" spans="1:29" x14ac:dyDescent="0.3">
      <c r="A342" s="1">
        <v>42124.457638888889</v>
      </c>
      <c r="B342">
        <v>341</v>
      </c>
      <c r="C342">
        <v>1</v>
      </c>
      <c r="D342">
        <v>264</v>
      </c>
      <c r="E342">
        <v>22</v>
      </c>
      <c r="F342">
        <v>13</v>
      </c>
      <c r="G342">
        <v>3436429</v>
      </c>
      <c r="H342" s="5">
        <v>343643</v>
      </c>
      <c r="I342" s="1">
        <v>8</v>
      </c>
      <c r="J342">
        <v>477</v>
      </c>
      <c r="K342">
        <v>2015</v>
      </c>
      <c r="L342">
        <v>4</v>
      </c>
      <c r="M342" t="s">
        <v>510</v>
      </c>
      <c r="N342" t="s">
        <v>13</v>
      </c>
      <c r="O342" t="s">
        <v>788</v>
      </c>
      <c r="P342">
        <v>211</v>
      </c>
      <c r="Q342">
        <v>2</v>
      </c>
      <c r="R342" t="s">
        <v>143</v>
      </c>
      <c r="S342" t="s">
        <v>13</v>
      </c>
      <c r="T342" t="s">
        <v>182</v>
      </c>
      <c r="U342" t="s">
        <v>84</v>
      </c>
      <c r="V342" t="s">
        <v>85</v>
      </c>
      <c r="W342">
        <v>0.1</v>
      </c>
      <c r="X342" t="s">
        <v>195</v>
      </c>
      <c r="Y342" t="s">
        <v>415</v>
      </c>
      <c r="Z342" t="s">
        <v>8</v>
      </c>
      <c r="AA342" t="s">
        <v>9</v>
      </c>
      <c r="AB342">
        <f xml:space="preserve"> COUNTIF(Fact[[#This Row],[Partner.Partner Driven]], "Yes") / COUNTA(Fact[Opportunity ID])</f>
        <v>0</v>
      </c>
      <c r="AC342">
        <f>IFERROR(INDEX(Fact[[#All],[Opportunity ID]],MATCH(X342,Fact[[#All],[salestage.Sales Stage]],0))/INDEX(Fact[[#All],[Opportunity ID]],MATCH(X341,Fact[[#All],[salestage.Sales Stage]],0)), "")</f>
        <v>7.1428571428571425E-2</v>
      </c>
    </row>
    <row r="343" spans="1:29" x14ac:dyDescent="0.3">
      <c r="A343" s="1">
        <v>42156.457638888889</v>
      </c>
      <c r="B343">
        <v>342</v>
      </c>
      <c r="C343">
        <v>2</v>
      </c>
      <c r="D343">
        <v>265</v>
      </c>
      <c r="E343">
        <v>22</v>
      </c>
      <c r="F343">
        <v>14</v>
      </c>
      <c r="G343">
        <v>126582</v>
      </c>
      <c r="H343" s="5">
        <v>25316</v>
      </c>
      <c r="I343" s="1">
        <v>1</v>
      </c>
      <c r="J343">
        <v>426</v>
      </c>
      <c r="K343">
        <v>2015</v>
      </c>
      <c r="L343">
        <v>6</v>
      </c>
      <c r="M343" t="s">
        <v>70</v>
      </c>
      <c r="N343" t="s">
        <v>13</v>
      </c>
      <c r="O343" t="s">
        <v>789</v>
      </c>
      <c r="P343">
        <v>16</v>
      </c>
      <c r="Q343">
        <v>1</v>
      </c>
      <c r="R343" t="s">
        <v>138</v>
      </c>
      <c r="S343" t="s">
        <v>13</v>
      </c>
      <c r="T343" t="s">
        <v>183</v>
      </c>
      <c r="U343" t="s">
        <v>84</v>
      </c>
      <c r="V343" t="s">
        <v>85</v>
      </c>
      <c r="W343">
        <v>0.2</v>
      </c>
      <c r="X343" t="s">
        <v>196</v>
      </c>
      <c r="Y343" t="s">
        <v>416</v>
      </c>
      <c r="Z343" t="s">
        <v>8</v>
      </c>
      <c r="AA343" t="s">
        <v>4</v>
      </c>
      <c r="AB343">
        <f xml:space="preserve"> COUNTIF(Fact[[#This Row],[Partner.Partner Driven]], "Yes") / COUNTA(Fact[Opportunity ID])</f>
        <v>0</v>
      </c>
      <c r="AC343">
        <f>IFERROR(INDEX(Fact[[#All],[Opportunity ID]],MATCH(X343,Fact[[#All],[salestage.Sales Stage]],0))/INDEX(Fact[[#All],[Opportunity ID]],MATCH(X342,Fact[[#All],[salestage.Sales Stage]],0)), "")</f>
        <v>0.5</v>
      </c>
    </row>
    <row r="344" spans="1:29" x14ac:dyDescent="0.3">
      <c r="A344" s="1">
        <v>42153.457638888889</v>
      </c>
      <c r="B344">
        <v>343</v>
      </c>
      <c r="C344">
        <v>4</v>
      </c>
      <c r="D344">
        <v>266</v>
      </c>
      <c r="E344">
        <v>22</v>
      </c>
      <c r="F344">
        <v>4</v>
      </c>
      <c r="G344">
        <v>1935082</v>
      </c>
      <c r="H344" s="5">
        <v>1161049</v>
      </c>
      <c r="I344" s="1">
        <v>21</v>
      </c>
      <c r="J344">
        <v>373</v>
      </c>
      <c r="K344">
        <v>2015</v>
      </c>
      <c r="L344">
        <v>5</v>
      </c>
      <c r="M344" t="s">
        <v>68</v>
      </c>
      <c r="N344" t="s">
        <v>3</v>
      </c>
      <c r="O344" t="s">
        <v>790</v>
      </c>
      <c r="P344">
        <v>131</v>
      </c>
      <c r="Q344">
        <v>1</v>
      </c>
      <c r="R344" t="s">
        <v>138</v>
      </c>
      <c r="S344" t="s">
        <v>3</v>
      </c>
      <c r="T344" t="s">
        <v>173</v>
      </c>
      <c r="U344" t="s">
        <v>84</v>
      </c>
      <c r="V344" t="s">
        <v>85</v>
      </c>
      <c r="W344">
        <v>0.6</v>
      </c>
      <c r="X344" t="s">
        <v>198</v>
      </c>
      <c r="Y344" t="s">
        <v>417</v>
      </c>
      <c r="Z344" t="s">
        <v>13</v>
      </c>
      <c r="AA344" t="s">
        <v>4</v>
      </c>
      <c r="AB344">
        <f xml:space="preserve"> COUNTIF(Fact[[#This Row],[Partner.Partner Driven]], "Yes") / COUNTA(Fact[Opportunity ID])</f>
        <v>0</v>
      </c>
      <c r="AC344">
        <f>IFERROR(INDEX(Fact[[#All],[Opportunity ID]],MATCH(X344,Fact[[#All],[salestage.Sales Stage]],0))/INDEX(Fact[[#All],[Opportunity ID]],MATCH(X343,Fact[[#All],[salestage.Sales Stage]],0)), "")</f>
        <v>28</v>
      </c>
    </row>
    <row r="345" spans="1:29" x14ac:dyDescent="0.3">
      <c r="A345" s="1">
        <v>42184.457638888889</v>
      </c>
      <c r="B345">
        <v>344</v>
      </c>
      <c r="C345">
        <v>2</v>
      </c>
      <c r="D345">
        <v>267</v>
      </c>
      <c r="E345">
        <v>22</v>
      </c>
      <c r="F345">
        <v>24</v>
      </c>
      <c r="G345">
        <v>3700117</v>
      </c>
      <c r="H345" s="5">
        <v>740023</v>
      </c>
      <c r="I345" s="1">
        <v>29</v>
      </c>
      <c r="J345">
        <v>516</v>
      </c>
      <c r="K345">
        <v>2015</v>
      </c>
      <c r="L345">
        <v>6</v>
      </c>
      <c r="M345" t="s">
        <v>70</v>
      </c>
      <c r="N345" t="s">
        <v>3</v>
      </c>
      <c r="O345" t="s">
        <v>791</v>
      </c>
      <c r="P345">
        <v>228</v>
      </c>
      <c r="Q345">
        <v>2</v>
      </c>
      <c r="R345" t="s">
        <v>143</v>
      </c>
      <c r="S345" t="s">
        <v>3</v>
      </c>
      <c r="T345" t="s">
        <v>193</v>
      </c>
      <c r="U345" t="s">
        <v>84</v>
      </c>
      <c r="V345" t="s">
        <v>85</v>
      </c>
      <c r="W345">
        <v>0.2</v>
      </c>
      <c r="X345" t="s">
        <v>196</v>
      </c>
      <c r="Y345" t="s">
        <v>418</v>
      </c>
      <c r="Z345" t="s">
        <v>13</v>
      </c>
      <c r="AA345" t="s">
        <v>4</v>
      </c>
      <c r="AB345">
        <f xml:space="preserve"> COUNTIF(Fact[[#This Row],[Partner.Partner Driven]], "Yes") / COUNTA(Fact[Opportunity ID])</f>
        <v>0</v>
      </c>
      <c r="AC345">
        <f>IFERROR(INDEX(Fact[[#All],[Opportunity ID]],MATCH(X345,Fact[[#All],[salestage.Sales Stage]],0))/INDEX(Fact[[#All],[Opportunity ID]],MATCH(X344,Fact[[#All],[salestage.Sales Stage]],0)), "")</f>
        <v>3.5714285714285712E-2</v>
      </c>
    </row>
    <row r="346" spans="1:29" x14ac:dyDescent="0.3">
      <c r="A346" s="1">
        <v>42123.457638888889</v>
      </c>
      <c r="B346">
        <v>345</v>
      </c>
      <c r="C346">
        <v>2</v>
      </c>
      <c r="D346">
        <v>268</v>
      </c>
      <c r="E346">
        <v>22</v>
      </c>
      <c r="F346">
        <v>3</v>
      </c>
      <c r="G346">
        <v>1418229</v>
      </c>
      <c r="H346" s="5">
        <v>283646</v>
      </c>
      <c r="I346" s="1">
        <v>5</v>
      </c>
      <c r="J346">
        <v>389</v>
      </c>
      <c r="K346">
        <v>2015</v>
      </c>
      <c r="L346">
        <v>4</v>
      </c>
      <c r="M346" t="s">
        <v>510</v>
      </c>
      <c r="N346" t="s">
        <v>13</v>
      </c>
      <c r="O346" t="s">
        <v>792</v>
      </c>
      <c r="P346">
        <v>92</v>
      </c>
      <c r="Q346">
        <v>1</v>
      </c>
      <c r="R346" t="s">
        <v>138</v>
      </c>
      <c r="S346" t="s">
        <v>13</v>
      </c>
      <c r="T346" t="s">
        <v>172</v>
      </c>
      <c r="U346" t="s">
        <v>84</v>
      </c>
      <c r="V346" t="s">
        <v>85</v>
      </c>
      <c r="W346">
        <v>0.2</v>
      </c>
      <c r="X346" t="s">
        <v>196</v>
      </c>
      <c r="Y346" t="s">
        <v>419</v>
      </c>
      <c r="Z346" t="s">
        <v>13</v>
      </c>
      <c r="AA346" t="s">
        <v>9</v>
      </c>
      <c r="AB346">
        <f xml:space="preserve"> COUNTIF(Fact[[#This Row],[Partner.Partner Driven]], "Yes") / COUNTA(Fact[Opportunity ID])</f>
        <v>0</v>
      </c>
      <c r="AC346">
        <f>IFERROR(INDEX(Fact[[#All],[Opportunity ID]],MATCH(X346,Fact[[#All],[salestage.Sales Stage]],0))/INDEX(Fact[[#All],[Opportunity ID]],MATCH(X345,Fact[[#All],[salestage.Sales Stage]],0)), "")</f>
        <v>1</v>
      </c>
    </row>
    <row r="347" spans="1:29" x14ac:dyDescent="0.3">
      <c r="A347" s="1">
        <v>42185.457638888889</v>
      </c>
      <c r="B347">
        <v>346</v>
      </c>
      <c r="C347">
        <v>1</v>
      </c>
      <c r="D347">
        <v>246</v>
      </c>
      <c r="E347">
        <v>22</v>
      </c>
      <c r="F347">
        <v>17</v>
      </c>
      <c r="G347">
        <v>3501919</v>
      </c>
      <c r="H347" s="5">
        <v>350192</v>
      </c>
      <c r="I347" s="1">
        <v>3</v>
      </c>
      <c r="J347">
        <v>512</v>
      </c>
      <c r="K347">
        <v>2015</v>
      </c>
      <c r="L347">
        <v>6</v>
      </c>
      <c r="M347" t="s">
        <v>70</v>
      </c>
      <c r="N347" t="s">
        <v>3</v>
      </c>
      <c r="O347" t="s">
        <v>793</v>
      </c>
      <c r="P347">
        <v>216</v>
      </c>
      <c r="Q347">
        <v>2</v>
      </c>
      <c r="R347" t="s">
        <v>143</v>
      </c>
      <c r="S347" t="s">
        <v>3</v>
      </c>
      <c r="T347" t="s">
        <v>186</v>
      </c>
      <c r="U347" t="s">
        <v>84</v>
      </c>
      <c r="V347" t="s">
        <v>85</v>
      </c>
      <c r="W347">
        <v>0.1</v>
      </c>
      <c r="X347" t="s">
        <v>195</v>
      </c>
      <c r="Y347" t="s">
        <v>397</v>
      </c>
      <c r="Z347" t="s">
        <v>13</v>
      </c>
      <c r="AA347" t="s">
        <v>4</v>
      </c>
      <c r="AB347">
        <f xml:space="preserve"> COUNTIF(Fact[[#This Row],[Partner.Partner Driven]], "Yes") / COUNTA(Fact[Opportunity ID])</f>
        <v>0</v>
      </c>
      <c r="AC347">
        <f>IFERROR(INDEX(Fact[[#All],[Opportunity ID]],MATCH(X347,Fact[[#All],[salestage.Sales Stage]],0))/INDEX(Fact[[#All],[Opportunity ID]],MATCH(X346,Fact[[#All],[salestage.Sales Stage]],0)), "")</f>
        <v>2</v>
      </c>
    </row>
    <row r="348" spans="1:29" x14ac:dyDescent="0.3">
      <c r="A348" s="1">
        <v>42185.457638888889</v>
      </c>
      <c r="B348">
        <v>347</v>
      </c>
      <c r="C348">
        <v>1</v>
      </c>
      <c r="D348">
        <v>269</v>
      </c>
      <c r="E348">
        <v>22</v>
      </c>
      <c r="F348">
        <v>16</v>
      </c>
      <c r="G348">
        <v>2230393</v>
      </c>
      <c r="H348" s="5">
        <v>223039</v>
      </c>
      <c r="I348" s="1">
        <v>28</v>
      </c>
      <c r="J348">
        <v>428</v>
      </c>
      <c r="K348">
        <v>2015</v>
      </c>
      <c r="L348">
        <v>6</v>
      </c>
      <c r="M348" t="s">
        <v>70</v>
      </c>
      <c r="N348" t="s">
        <v>3</v>
      </c>
      <c r="O348" t="s">
        <v>794</v>
      </c>
      <c r="P348">
        <v>150</v>
      </c>
      <c r="Q348">
        <v>1</v>
      </c>
      <c r="R348" t="s">
        <v>138</v>
      </c>
      <c r="S348" t="s">
        <v>3</v>
      </c>
      <c r="T348" t="s">
        <v>185</v>
      </c>
      <c r="U348" t="s">
        <v>84</v>
      </c>
      <c r="V348" t="s">
        <v>85</v>
      </c>
      <c r="W348">
        <v>0.1</v>
      </c>
      <c r="X348" t="s">
        <v>195</v>
      </c>
      <c r="Y348" t="s">
        <v>420</v>
      </c>
      <c r="Z348" t="s">
        <v>13</v>
      </c>
      <c r="AA348" t="s">
        <v>4</v>
      </c>
      <c r="AB348">
        <f xml:space="preserve"> COUNTIF(Fact[[#This Row],[Partner.Partner Driven]], "Yes") / COUNTA(Fact[Opportunity ID])</f>
        <v>0</v>
      </c>
      <c r="AC348">
        <f>IFERROR(INDEX(Fact[[#All],[Opportunity ID]],MATCH(X348,Fact[[#All],[salestage.Sales Stage]],0))/INDEX(Fact[[#All],[Opportunity ID]],MATCH(X347,Fact[[#All],[salestage.Sales Stage]],0)), "")</f>
        <v>1</v>
      </c>
    </row>
    <row r="349" spans="1:29" x14ac:dyDescent="0.3">
      <c r="A349" s="1">
        <v>42185.457638888889</v>
      </c>
      <c r="B349">
        <v>348</v>
      </c>
      <c r="C349">
        <v>2</v>
      </c>
      <c r="D349">
        <v>270</v>
      </c>
      <c r="E349">
        <v>22</v>
      </c>
      <c r="F349">
        <v>4</v>
      </c>
      <c r="G349">
        <v>2200700</v>
      </c>
      <c r="H349" s="5">
        <v>440140</v>
      </c>
      <c r="I349" s="1">
        <v>3</v>
      </c>
      <c r="J349">
        <v>453</v>
      </c>
      <c r="K349">
        <v>2015</v>
      </c>
      <c r="L349">
        <v>6</v>
      </c>
      <c r="M349" t="s">
        <v>70</v>
      </c>
      <c r="N349" t="s">
        <v>8</v>
      </c>
      <c r="O349" t="s">
        <v>795</v>
      </c>
      <c r="P349">
        <v>147</v>
      </c>
      <c r="Q349">
        <v>1</v>
      </c>
      <c r="R349" t="s">
        <v>138</v>
      </c>
      <c r="S349" t="s">
        <v>8</v>
      </c>
      <c r="T349" t="s">
        <v>173</v>
      </c>
      <c r="U349" t="s">
        <v>84</v>
      </c>
      <c r="V349" t="s">
        <v>85</v>
      </c>
      <c r="W349">
        <v>0.2</v>
      </c>
      <c r="X349" t="s">
        <v>196</v>
      </c>
      <c r="Y349" t="s">
        <v>421</v>
      </c>
      <c r="Z349" t="s">
        <v>13</v>
      </c>
      <c r="AA349" t="s">
        <v>4</v>
      </c>
      <c r="AB349">
        <f xml:space="preserve"> COUNTIF(Fact[[#This Row],[Partner.Partner Driven]], "Yes") / COUNTA(Fact[Opportunity ID])</f>
        <v>0</v>
      </c>
      <c r="AC349">
        <f>IFERROR(INDEX(Fact[[#All],[Opportunity ID]],MATCH(X349,Fact[[#All],[salestage.Sales Stage]],0))/INDEX(Fact[[#All],[Opportunity ID]],MATCH(X348,Fact[[#All],[salestage.Sales Stage]],0)), "")</f>
        <v>0.5</v>
      </c>
    </row>
    <row r="350" spans="1:29" x14ac:dyDescent="0.3">
      <c r="A350" s="1">
        <v>42185.457638888889</v>
      </c>
      <c r="B350">
        <v>349</v>
      </c>
      <c r="C350">
        <v>2</v>
      </c>
      <c r="D350">
        <v>271</v>
      </c>
      <c r="E350">
        <v>22</v>
      </c>
      <c r="F350">
        <v>10</v>
      </c>
      <c r="G350">
        <v>2630698</v>
      </c>
      <c r="H350" s="5">
        <v>526140</v>
      </c>
      <c r="I350" s="1">
        <v>29</v>
      </c>
      <c r="J350">
        <v>427</v>
      </c>
      <c r="K350">
        <v>2015</v>
      </c>
      <c r="L350">
        <v>6</v>
      </c>
      <c r="M350" t="s">
        <v>70</v>
      </c>
      <c r="N350" t="s">
        <v>8</v>
      </c>
      <c r="O350" t="s">
        <v>796</v>
      </c>
      <c r="P350">
        <v>172</v>
      </c>
      <c r="Q350">
        <v>2</v>
      </c>
      <c r="R350" t="s">
        <v>143</v>
      </c>
      <c r="S350" t="s">
        <v>8</v>
      </c>
      <c r="T350" t="s">
        <v>179</v>
      </c>
      <c r="U350" t="s">
        <v>84</v>
      </c>
      <c r="V350" t="s">
        <v>85</v>
      </c>
      <c r="W350">
        <v>0.2</v>
      </c>
      <c r="X350" t="s">
        <v>196</v>
      </c>
      <c r="Y350" t="s">
        <v>422</v>
      </c>
      <c r="Z350" t="s">
        <v>13</v>
      </c>
      <c r="AA350" t="s">
        <v>4</v>
      </c>
      <c r="AB350">
        <f xml:space="preserve"> COUNTIF(Fact[[#This Row],[Partner.Partner Driven]], "Yes") / COUNTA(Fact[Opportunity ID])</f>
        <v>0</v>
      </c>
      <c r="AC350">
        <f>IFERROR(INDEX(Fact[[#All],[Opportunity ID]],MATCH(X350,Fact[[#All],[salestage.Sales Stage]],0))/INDEX(Fact[[#All],[Opportunity ID]],MATCH(X349,Fact[[#All],[salestage.Sales Stage]],0)), "")</f>
        <v>1</v>
      </c>
    </row>
    <row r="351" spans="1:29" x14ac:dyDescent="0.3">
      <c r="A351" s="1">
        <v>42185.457638888889</v>
      </c>
      <c r="B351">
        <v>350</v>
      </c>
      <c r="C351">
        <v>1</v>
      </c>
      <c r="D351">
        <v>272</v>
      </c>
      <c r="E351">
        <v>8</v>
      </c>
      <c r="F351">
        <v>20</v>
      </c>
      <c r="G351">
        <v>3134986</v>
      </c>
      <c r="H351" s="5">
        <v>313499</v>
      </c>
      <c r="I351" s="1">
        <v>19</v>
      </c>
      <c r="J351">
        <v>527</v>
      </c>
      <c r="K351">
        <v>2015</v>
      </c>
      <c r="L351">
        <v>6</v>
      </c>
      <c r="M351" t="s">
        <v>70</v>
      </c>
      <c r="N351" t="s">
        <v>3</v>
      </c>
      <c r="O351" t="s">
        <v>798</v>
      </c>
      <c r="P351">
        <v>189</v>
      </c>
      <c r="Q351">
        <v>2</v>
      </c>
      <c r="R351" t="s">
        <v>143</v>
      </c>
      <c r="S351" t="s">
        <v>3</v>
      </c>
      <c r="T351" t="s">
        <v>189</v>
      </c>
      <c r="U351" t="s">
        <v>526</v>
      </c>
      <c r="V351" t="s">
        <v>72</v>
      </c>
      <c r="W351">
        <v>0.1</v>
      </c>
      <c r="X351" t="s">
        <v>195</v>
      </c>
      <c r="Y351" t="s">
        <v>423</v>
      </c>
      <c r="Z351" t="s">
        <v>13</v>
      </c>
      <c r="AA351" t="s">
        <v>4</v>
      </c>
      <c r="AB351">
        <f xml:space="preserve"> COUNTIF(Fact[[#This Row],[Partner.Partner Driven]], "Yes") / COUNTA(Fact[Opportunity ID])</f>
        <v>2.05761316872428E-3</v>
      </c>
      <c r="AC351">
        <f>IFERROR(INDEX(Fact[[#All],[Opportunity ID]],MATCH(X351,Fact[[#All],[salestage.Sales Stage]],0))/INDEX(Fact[[#All],[Opportunity ID]],MATCH(X350,Fact[[#All],[salestage.Sales Stage]],0)), "")</f>
        <v>2</v>
      </c>
    </row>
    <row r="352" spans="1:29" x14ac:dyDescent="0.3">
      <c r="A352" s="1">
        <v>42185.457638888889</v>
      </c>
      <c r="B352">
        <v>351</v>
      </c>
      <c r="C352">
        <v>2</v>
      </c>
      <c r="D352">
        <v>273</v>
      </c>
      <c r="E352">
        <v>22</v>
      </c>
      <c r="F352">
        <v>8</v>
      </c>
      <c r="G352">
        <v>6552164</v>
      </c>
      <c r="H352" s="5">
        <v>1310433</v>
      </c>
      <c r="I352" s="1">
        <v>13</v>
      </c>
      <c r="J352">
        <v>533</v>
      </c>
      <c r="K352">
        <v>2015</v>
      </c>
      <c r="L352">
        <v>6</v>
      </c>
      <c r="M352" t="s">
        <v>70</v>
      </c>
      <c r="N352" t="s">
        <v>3</v>
      </c>
      <c r="O352" t="s">
        <v>799</v>
      </c>
      <c r="P352">
        <v>370</v>
      </c>
      <c r="Q352">
        <v>3</v>
      </c>
      <c r="R352" t="s">
        <v>9</v>
      </c>
      <c r="S352" t="s">
        <v>3</v>
      </c>
      <c r="T352" t="s">
        <v>177</v>
      </c>
      <c r="U352" t="s">
        <v>84</v>
      </c>
      <c r="V352" t="s">
        <v>85</v>
      </c>
      <c r="W352">
        <v>0.2</v>
      </c>
      <c r="X352" t="s">
        <v>196</v>
      </c>
      <c r="Y352" t="s">
        <v>424</v>
      </c>
      <c r="Z352" t="s">
        <v>13</v>
      </c>
      <c r="AA352" t="s">
        <v>4</v>
      </c>
      <c r="AB352">
        <f xml:space="preserve"> COUNTIF(Fact[[#This Row],[Partner.Partner Driven]], "Yes") / COUNTA(Fact[Opportunity ID])</f>
        <v>0</v>
      </c>
      <c r="AC352">
        <f>IFERROR(INDEX(Fact[[#All],[Opportunity ID]],MATCH(X352,Fact[[#All],[salestage.Sales Stage]],0))/INDEX(Fact[[#All],[Opportunity ID]],MATCH(X351,Fact[[#All],[salestage.Sales Stage]],0)), "")</f>
        <v>0.5</v>
      </c>
    </row>
    <row r="353" spans="1:29" x14ac:dyDescent="0.3">
      <c r="A353" s="1">
        <v>42185.457638888889</v>
      </c>
      <c r="B353">
        <v>352</v>
      </c>
      <c r="C353">
        <v>2</v>
      </c>
      <c r="D353">
        <v>274</v>
      </c>
      <c r="E353">
        <v>22</v>
      </c>
      <c r="F353">
        <v>16</v>
      </c>
      <c r="G353">
        <v>565035</v>
      </c>
      <c r="H353" s="5">
        <v>113007</v>
      </c>
      <c r="I353" s="1">
        <v>10</v>
      </c>
      <c r="J353">
        <v>446</v>
      </c>
      <c r="K353">
        <v>2015</v>
      </c>
      <c r="L353">
        <v>6</v>
      </c>
      <c r="M353" t="s">
        <v>70</v>
      </c>
      <c r="N353" t="s">
        <v>8</v>
      </c>
      <c r="O353" t="s">
        <v>800</v>
      </c>
      <c r="P353">
        <v>46</v>
      </c>
      <c r="Q353">
        <v>1</v>
      </c>
      <c r="R353" t="s">
        <v>138</v>
      </c>
      <c r="S353" t="s">
        <v>8</v>
      </c>
      <c r="T353" t="s">
        <v>185</v>
      </c>
      <c r="U353" t="s">
        <v>84</v>
      </c>
      <c r="V353" t="s">
        <v>85</v>
      </c>
      <c r="W353">
        <v>0.2</v>
      </c>
      <c r="X353" t="s">
        <v>196</v>
      </c>
      <c r="Y353" t="s">
        <v>425</v>
      </c>
      <c r="Z353" t="s">
        <v>13</v>
      </c>
      <c r="AA353" t="s">
        <v>4</v>
      </c>
      <c r="AB353">
        <f xml:space="preserve"> COUNTIF(Fact[[#This Row],[Partner.Partner Driven]], "Yes") / COUNTA(Fact[Opportunity ID])</f>
        <v>0</v>
      </c>
      <c r="AC353">
        <f>IFERROR(INDEX(Fact[[#All],[Opportunity ID]],MATCH(X353,Fact[[#All],[salestage.Sales Stage]],0))/INDEX(Fact[[#All],[Opportunity ID]],MATCH(X352,Fact[[#All],[salestage.Sales Stage]],0)), "")</f>
        <v>1</v>
      </c>
    </row>
    <row r="354" spans="1:29" x14ac:dyDescent="0.3">
      <c r="A354" s="1">
        <v>42185.457638888889</v>
      </c>
      <c r="B354">
        <v>353</v>
      </c>
      <c r="C354">
        <v>1</v>
      </c>
      <c r="D354">
        <v>275</v>
      </c>
      <c r="E354">
        <v>22</v>
      </c>
      <c r="F354">
        <v>18</v>
      </c>
      <c r="G354">
        <v>535605</v>
      </c>
      <c r="H354" s="5">
        <v>53561</v>
      </c>
      <c r="I354" s="1">
        <v>20</v>
      </c>
      <c r="J354">
        <v>375</v>
      </c>
      <c r="K354">
        <v>2015</v>
      </c>
      <c r="L354">
        <v>6</v>
      </c>
      <c r="M354" t="s">
        <v>70</v>
      </c>
      <c r="N354" t="s">
        <v>8</v>
      </c>
      <c r="O354" t="s">
        <v>801</v>
      </c>
      <c r="P354">
        <v>44</v>
      </c>
      <c r="Q354">
        <v>1</v>
      </c>
      <c r="R354" t="s">
        <v>138</v>
      </c>
      <c r="S354" t="s">
        <v>8</v>
      </c>
      <c r="T354" t="s">
        <v>187</v>
      </c>
      <c r="U354" t="s">
        <v>84</v>
      </c>
      <c r="V354" t="s">
        <v>85</v>
      </c>
      <c r="W354">
        <v>0.1</v>
      </c>
      <c r="X354" t="s">
        <v>195</v>
      </c>
      <c r="Y354" t="s">
        <v>426</v>
      </c>
      <c r="Z354" t="s">
        <v>8</v>
      </c>
      <c r="AA354" t="s">
        <v>9</v>
      </c>
      <c r="AB354">
        <f xml:space="preserve"> COUNTIF(Fact[[#This Row],[Partner.Partner Driven]], "Yes") / COUNTA(Fact[Opportunity ID])</f>
        <v>0</v>
      </c>
      <c r="AC354">
        <f>IFERROR(INDEX(Fact[[#All],[Opportunity ID]],MATCH(X354,Fact[[#All],[salestage.Sales Stage]],0))/INDEX(Fact[[#All],[Opportunity ID]],MATCH(X353,Fact[[#All],[salestage.Sales Stage]],0)), "")</f>
        <v>2</v>
      </c>
    </row>
    <row r="355" spans="1:29" x14ac:dyDescent="0.3">
      <c r="A355" s="1">
        <v>42185.457638888889</v>
      </c>
      <c r="B355">
        <v>354</v>
      </c>
      <c r="C355">
        <v>3</v>
      </c>
      <c r="D355">
        <v>276</v>
      </c>
      <c r="E355">
        <v>22</v>
      </c>
      <c r="F355">
        <v>4</v>
      </c>
      <c r="G355">
        <v>4338832</v>
      </c>
      <c r="H355" s="5">
        <v>1735533</v>
      </c>
      <c r="I355" s="1">
        <v>11</v>
      </c>
      <c r="J355">
        <v>476</v>
      </c>
      <c r="K355">
        <v>2015</v>
      </c>
      <c r="L355">
        <v>6</v>
      </c>
      <c r="M355" t="s">
        <v>70</v>
      </c>
      <c r="N355" t="s">
        <v>13</v>
      </c>
      <c r="O355" t="s">
        <v>802</v>
      </c>
      <c r="P355">
        <v>262</v>
      </c>
      <c r="Q355">
        <v>2</v>
      </c>
      <c r="R355" t="s">
        <v>143</v>
      </c>
      <c r="S355" t="s">
        <v>13</v>
      </c>
      <c r="T355" t="s">
        <v>173</v>
      </c>
      <c r="U355" t="s">
        <v>84</v>
      </c>
      <c r="V355" t="s">
        <v>85</v>
      </c>
      <c r="W355">
        <v>0.4</v>
      </c>
      <c r="X355" t="s">
        <v>197</v>
      </c>
      <c r="Y355" t="s">
        <v>427</v>
      </c>
      <c r="Z355" t="s">
        <v>13</v>
      </c>
      <c r="AA355" t="s">
        <v>9</v>
      </c>
      <c r="AB355">
        <f xml:space="preserve"> COUNTIF(Fact[[#This Row],[Partner.Partner Driven]], "Yes") / COUNTA(Fact[Opportunity ID])</f>
        <v>0</v>
      </c>
      <c r="AC355">
        <f>IFERROR(INDEX(Fact[[#All],[Opportunity ID]],MATCH(X355,Fact[[#All],[salestage.Sales Stage]],0))/INDEX(Fact[[#All],[Opportunity ID]],MATCH(X354,Fact[[#All],[salestage.Sales Stage]],0)), "")</f>
        <v>4.5</v>
      </c>
    </row>
    <row r="356" spans="1:29" x14ac:dyDescent="0.3">
      <c r="A356" s="1">
        <v>42182.457638888889</v>
      </c>
      <c r="B356">
        <v>355</v>
      </c>
      <c r="C356">
        <v>1</v>
      </c>
      <c r="D356">
        <v>277</v>
      </c>
      <c r="E356">
        <v>22</v>
      </c>
      <c r="F356">
        <v>12</v>
      </c>
      <c r="G356">
        <v>2702266</v>
      </c>
      <c r="H356" s="5">
        <v>270227</v>
      </c>
      <c r="I356" s="1">
        <v>25</v>
      </c>
      <c r="J356">
        <v>459</v>
      </c>
      <c r="K356">
        <v>2015</v>
      </c>
      <c r="L356">
        <v>6</v>
      </c>
      <c r="M356" t="s">
        <v>70</v>
      </c>
      <c r="N356" t="s">
        <v>13</v>
      </c>
      <c r="O356" t="s">
        <v>803</v>
      </c>
      <c r="P356">
        <v>177</v>
      </c>
      <c r="Q356">
        <v>2</v>
      </c>
      <c r="R356" t="s">
        <v>143</v>
      </c>
      <c r="S356" t="s">
        <v>13</v>
      </c>
      <c r="T356" t="s">
        <v>181</v>
      </c>
      <c r="U356" t="s">
        <v>84</v>
      </c>
      <c r="V356" t="s">
        <v>85</v>
      </c>
      <c r="W356">
        <v>0.1</v>
      </c>
      <c r="X356" t="s">
        <v>195</v>
      </c>
      <c r="Y356" t="s">
        <v>130</v>
      </c>
      <c r="Z356" t="s">
        <v>13</v>
      </c>
      <c r="AA356" t="s">
        <v>9</v>
      </c>
      <c r="AB356">
        <f xml:space="preserve"> COUNTIF(Fact[[#This Row],[Partner.Partner Driven]], "Yes") / COUNTA(Fact[Opportunity ID])</f>
        <v>0</v>
      </c>
      <c r="AC356">
        <f>IFERROR(INDEX(Fact[[#All],[Opportunity ID]],MATCH(X356,Fact[[#All],[salestage.Sales Stage]],0))/INDEX(Fact[[#All],[Opportunity ID]],MATCH(X355,Fact[[#All],[salestage.Sales Stage]],0)), "")</f>
        <v>0.22222222222222221</v>
      </c>
    </row>
    <row r="357" spans="1:29" x14ac:dyDescent="0.3">
      <c r="A357" s="1">
        <v>42172.457638888889</v>
      </c>
      <c r="B357">
        <v>356</v>
      </c>
      <c r="C357">
        <v>2</v>
      </c>
      <c r="D357">
        <v>278</v>
      </c>
      <c r="E357">
        <v>22</v>
      </c>
      <c r="F357">
        <v>20</v>
      </c>
      <c r="G357">
        <v>767582</v>
      </c>
      <c r="H357" s="5">
        <v>153516</v>
      </c>
      <c r="I357" s="1">
        <v>4</v>
      </c>
      <c r="J357">
        <v>409</v>
      </c>
      <c r="K357">
        <v>2015</v>
      </c>
      <c r="L357">
        <v>6</v>
      </c>
      <c r="M357" t="s">
        <v>70</v>
      </c>
      <c r="N357" t="s">
        <v>3</v>
      </c>
      <c r="O357" t="s">
        <v>804</v>
      </c>
      <c r="P357">
        <v>59</v>
      </c>
      <c r="Q357">
        <v>1</v>
      </c>
      <c r="R357" t="s">
        <v>138</v>
      </c>
      <c r="S357" t="s">
        <v>3</v>
      </c>
      <c r="T357" t="s">
        <v>189</v>
      </c>
      <c r="U357" t="s">
        <v>84</v>
      </c>
      <c r="V357" t="s">
        <v>85</v>
      </c>
      <c r="W357">
        <v>0.2</v>
      </c>
      <c r="X357" t="s">
        <v>196</v>
      </c>
      <c r="Y357" t="s">
        <v>428</v>
      </c>
      <c r="Z357" t="s">
        <v>13</v>
      </c>
      <c r="AA357" t="s">
        <v>4</v>
      </c>
      <c r="AB357">
        <f xml:space="preserve"> COUNTIF(Fact[[#This Row],[Partner.Partner Driven]], "Yes") / COUNTA(Fact[Opportunity ID])</f>
        <v>0</v>
      </c>
      <c r="AC357">
        <f>IFERROR(INDEX(Fact[[#All],[Opportunity ID]],MATCH(X357,Fact[[#All],[salestage.Sales Stage]],0))/INDEX(Fact[[#All],[Opportunity ID]],MATCH(X356,Fact[[#All],[salestage.Sales Stage]],0)), "")</f>
        <v>0.5</v>
      </c>
    </row>
    <row r="358" spans="1:29" x14ac:dyDescent="0.3">
      <c r="A358" s="1">
        <v>42178.457638888889</v>
      </c>
      <c r="B358">
        <v>357</v>
      </c>
      <c r="C358">
        <v>2</v>
      </c>
      <c r="D358">
        <v>279</v>
      </c>
      <c r="E358">
        <v>22</v>
      </c>
      <c r="F358">
        <v>20</v>
      </c>
      <c r="G358">
        <v>1922932</v>
      </c>
      <c r="H358" s="5">
        <v>384586</v>
      </c>
      <c r="I358" s="1">
        <v>16</v>
      </c>
      <c r="J358">
        <v>464</v>
      </c>
      <c r="K358">
        <v>2015</v>
      </c>
      <c r="L358">
        <v>6</v>
      </c>
      <c r="M358" t="s">
        <v>70</v>
      </c>
      <c r="N358" t="s">
        <v>3</v>
      </c>
      <c r="O358" t="s">
        <v>805</v>
      </c>
      <c r="P358">
        <v>130</v>
      </c>
      <c r="Q358">
        <v>1</v>
      </c>
      <c r="R358" t="s">
        <v>138</v>
      </c>
      <c r="S358" t="s">
        <v>3</v>
      </c>
      <c r="T358" t="s">
        <v>189</v>
      </c>
      <c r="U358" t="s">
        <v>84</v>
      </c>
      <c r="V358" t="s">
        <v>85</v>
      </c>
      <c r="W358">
        <v>0.2</v>
      </c>
      <c r="X358" t="s">
        <v>196</v>
      </c>
      <c r="Y358" t="s">
        <v>429</v>
      </c>
      <c r="Z358" t="s">
        <v>13</v>
      </c>
      <c r="AA358" t="s">
        <v>9</v>
      </c>
      <c r="AB358">
        <f xml:space="preserve"> COUNTIF(Fact[[#This Row],[Partner.Partner Driven]], "Yes") / COUNTA(Fact[Opportunity ID])</f>
        <v>0</v>
      </c>
      <c r="AC358">
        <f>IFERROR(INDEX(Fact[[#All],[Opportunity ID]],MATCH(X358,Fact[[#All],[salestage.Sales Stage]],0))/INDEX(Fact[[#All],[Opportunity ID]],MATCH(X357,Fact[[#All],[salestage.Sales Stage]],0)), "")</f>
        <v>1</v>
      </c>
    </row>
    <row r="359" spans="1:29" x14ac:dyDescent="0.3">
      <c r="A359" s="1">
        <v>42111.457638888889</v>
      </c>
      <c r="B359">
        <v>358</v>
      </c>
      <c r="C359">
        <v>4</v>
      </c>
      <c r="D359">
        <v>47</v>
      </c>
      <c r="E359">
        <v>22</v>
      </c>
      <c r="F359">
        <v>21</v>
      </c>
      <c r="G359">
        <v>3488444</v>
      </c>
      <c r="H359" s="5">
        <v>2093066</v>
      </c>
      <c r="I359" s="1">
        <v>2</v>
      </c>
      <c r="J359">
        <v>411</v>
      </c>
      <c r="K359">
        <v>2015</v>
      </c>
      <c r="L359">
        <v>4</v>
      </c>
      <c r="M359" t="s">
        <v>510</v>
      </c>
      <c r="N359" t="s">
        <v>3</v>
      </c>
      <c r="O359" t="s">
        <v>806</v>
      </c>
      <c r="P359">
        <v>215</v>
      </c>
      <c r="Q359">
        <v>2</v>
      </c>
      <c r="R359" t="s">
        <v>143</v>
      </c>
      <c r="S359" t="s">
        <v>3</v>
      </c>
      <c r="T359" t="s">
        <v>190</v>
      </c>
      <c r="U359" t="s">
        <v>84</v>
      </c>
      <c r="V359" t="s">
        <v>85</v>
      </c>
      <c r="W359">
        <v>0.6</v>
      </c>
      <c r="X359" t="s">
        <v>198</v>
      </c>
      <c r="Y359" t="s">
        <v>54</v>
      </c>
      <c r="Z359" t="s">
        <v>8</v>
      </c>
      <c r="AA359" t="s">
        <v>9</v>
      </c>
      <c r="AB359">
        <f xml:space="preserve"> COUNTIF(Fact[[#This Row],[Partner.Partner Driven]], "Yes") / COUNTA(Fact[Opportunity ID])</f>
        <v>0</v>
      </c>
      <c r="AC359">
        <f>IFERROR(INDEX(Fact[[#All],[Opportunity ID]],MATCH(X359,Fact[[#All],[salestage.Sales Stage]],0))/INDEX(Fact[[#All],[Opportunity ID]],MATCH(X358,Fact[[#All],[salestage.Sales Stage]],0)), "")</f>
        <v>28</v>
      </c>
    </row>
    <row r="360" spans="1:29" x14ac:dyDescent="0.3">
      <c r="A360" s="1">
        <v>42369.457638888889</v>
      </c>
      <c r="B360">
        <v>359</v>
      </c>
      <c r="C360">
        <v>1</v>
      </c>
      <c r="D360">
        <v>280</v>
      </c>
      <c r="E360">
        <v>12</v>
      </c>
      <c r="F360">
        <v>15</v>
      </c>
      <c r="G360">
        <v>8146942</v>
      </c>
      <c r="H360" s="5">
        <v>814694</v>
      </c>
      <c r="I360" s="1">
        <v>17</v>
      </c>
      <c r="J360">
        <v>470</v>
      </c>
      <c r="K360">
        <v>2015</v>
      </c>
      <c r="L360">
        <v>12</v>
      </c>
      <c r="M360" t="s">
        <v>508</v>
      </c>
      <c r="N360" t="s">
        <v>13</v>
      </c>
      <c r="O360" t="s">
        <v>807</v>
      </c>
      <c r="P360">
        <v>417</v>
      </c>
      <c r="Q360">
        <v>3</v>
      </c>
      <c r="R360" t="s">
        <v>9</v>
      </c>
      <c r="S360" t="s">
        <v>13</v>
      </c>
      <c r="T360" t="s">
        <v>184</v>
      </c>
      <c r="U360" t="s">
        <v>112</v>
      </c>
      <c r="V360" t="s">
        <v>72</v>
      </c>
      <c r="W360">
        <v>0.1</v>
      </c>
      <c r="X360" t="s">
        <v>195</v>
      </c>
      <c r="Y360" t="s">
        <v>430</v>
      </c>
      <c r="Z360" t="s">
        <v>3</v>
      </c>
      <c r="AA360" t="s">
        <v>6</v>
      </c>
      <c r="AB360">
        <f xml:space="preserve"> COUNTIF(Fact[[#This Row],[Partner.Partner Driven]], "Yes") / COUNTA(Fact[Opportunity ID])</f>
        <v>2.05761316872428E-3</v>
      </c>
      <c r="AC360">
        <f>IFERROR(INDEX(Fact[[#All],[Opportunity ID]],MATCH(X360,Fact[[#All],[salestage.Sales Stage]],0))/INDEX(Fact[[#All],[Opportunity ID]],MATCH(X359,Fact[[#All],[salestage.Sales Stage]],0)), "")</f>
        <v>7.1428571428571425E-2</v>
      </c>
    </row>
    <row r="361" spans="1:29" x14ac:dyDescent="0.3">
      <c r="A361" s="1">
        <v>42044.457638888889</v>
      </c>
      <c r="B361">
        <v>360</v>
      </c>
      <c r="C361">
        <v>2</v>
      </c>
      <c r="D361">
        <v>281</v>
      </c>
      <c r="E361">
        <v>22</v>
      </c>
      <c r="F361">
        <v>2</v>
      </c>
      <c r="G361">
        <v>4600206</v>
      </c>
      <c r="H361" s="5">
        <v>920041</v>
      </c>
      <c r="I361" s="1">
        <v>3</v>
      </c>
      <c r="J361">
        <v>402</v>
      </c>
      <c r="K361">
        <v>2015</v>
      </c>
      <c r="L361">
        <v>2</v>
      </c>
      <c r="M361" t="s">
        <v>509</v>
      </c>
      <c r="N361" t="s">
        <v>3</v>
      </c>
      <c r="O361" t="s">
        <v>809</v>
      </c>
      <c r="P361">
        <v>272</v>
      </c>
      <c r="Q361">
        <v>2</v>
      </c>
      <c r="R361" t="s">
        <v>143</v>
      </c>
      <c r="S361" t="s">
        <v>3</v>
      </c>
      <c r="T361" t="s">
        <v>171</v>
      </c>
      <c r="U361" t="s">
        <v>84</v>
      </c>
      <c r="V361" t="s">
        <v>85</v>
      </c>
      <c r="W361">
        <v>0.2</v>
      </c>
      <c r="X361" t="s">
        <v>196</v>
      </c>
      <c r="Y361" t="s">
        <v>431</v>
      </c>
      <c r="Z361" t="s">
        <v>8</v>
      </c>
      <c r="AA361" t="s">
        <v>9</v>
      </c>
      <c r="AB361">
        <f xml:space="preserve"> COUNTIF(Fact[[#This Row],[Partner.Partner Driven]], "Yes") / COUNTA(Fact[Opportunity ID])</f>
        <v>0</v>
      </c>
      <c r="AC361">
        <f>IFERROR(INDEX(Fact[[#All],[Opportunity ID]],MATCH(X361,Fact[[#All],[salestage.Sales Stage]],0))/INDEX(Fact[[#All],[Opportunity ID]],MATCH(X360,Fact[[#All],[salestage.Sales Stage]],0)), "")</f>
        <v>0.5</v>
      </c>
    </row>
    <row r="362" spans="1:29" x14ac:dyDescent="0.3">
      <c r="A362" s="1">
        <v>42277.457638888889</v>
      </c>
      <c r="B362">
        <v>361</v>
      </c>
      <c r="C362">
        <v>1</v>
      </c>
      <c r="D362">
        <v>282</v>
      </c>
      <c r="E362">
        <v>83</v>
      </c>
      <c r="F362">
        <v>13</v>
      </c>
      <c r="G362">
        <v>7768660</v>
      </c>
      <c r="H362" s="5">
        <v>776866</v>
      </c>
      <c r="I362" s="1">
        <v>15</v>
      </c>
      <c r="J362">
        <v>472</v>
      </c>
      <c r="K362">
        <v>2015</v>
      </c>
      <c r="L362">
        <v>9</v>
      </c>
      <c r="M362" t="s">
        <v>507</v>
      </c>
      <c r="N362" t="s">
        <v>3</v>
      </c>
      <c r="O362" t="s">
        <v>810</v>
      </c>
      <c r="P362">
        <v>411</v>
      </c>
      <c r="Q362">
        <v>3</v>
      </c>
      <c r="R362" t="s">
        <v>9</v>
      </c>
      <c r="S362" t="s">
        <v>3</v>
      </c>
      <c r="T362" t="s">
        <v>182</v>
      </c>
      <c r="U362" t="s">
        <v>91</v>
      </c>
      <c r="V362" t="s">
        <v>72</v>
      </c>
      <c r="W362">
        <v>0.1</v>
      </c>
      <c r="X362" t="s">
        <v>195</v>
      </c>
      <c r="Y362" t="s">
        <v>312</v>
      </c>
      <c r="Z362" t="s">
        <v>3</v>
      </c>
      <c r="AA362" t="s">
        <v>9</v>
      </c>
      <c r="AB362">
        <f xml:space="preserve"> COUNTIF(Fact[[#This Row],[Partner.Partner Driven]], "Yes") / COUNTA(Fact[Opportunity ID])</f>
        <v>2.05761316872428E-3</v>
      </c>
      <c r="AC362">
        <f>IFERROR(INDEX(Fact[[#All],[Opportunity ID]],MATCH(X362,Fact[[#All],[salestage.Sales Stage]],0))/INDEX(Fact[[#All],[Opportunity ID]],MATCH(X361,Fact[[#All],[salestage.Sales Stage]],0)), "")</f>
        <v>2</v>
      </c>
    </row>
    <row r="363" spans="1:29" x14ac:dyDescent="0.3">
      <c r="A363" s="1">
        <v>42095.457638888889</v>
      </c>
      <c r="B363">
        <v>362</v>
      </c>
      <c r="C363">
        <v>4</v>
      </c>
      <c r="D363">
        <v>283</v>
      </c>
      <c r="E363">
        <v>22</v>
      </c>
      <c r="F363">
        <v>6</v>
      </c>
      <c r="G363">
        <v>3634069</v>
      </c>
      <c r="H363" s="5">
        <v>2180441</v>
      </c>
      <c r="I363" s="1">
        <v>1</v>
      </c>
      <c r="J363">
        <v>396</v>
      </c>
      <c r="K363">
        <v>2015</v>
      </c>
      <c r="L363">
        <v>4</v>
      </c>
      <c r="M363" t="s">
        <v>510</v>
      </c>
      <c r="N363" t="s">
        <v>3</v>
      </c>
      <c r="O363" t="s">
        <v>811</v>
      </c>
      <c r="P363">
        <v>223</v>
      </c>
      <c r="Q363">
        <v>2</v>
      </c>
      <c r="R363" t="s">
        <v>143</v>
      </c>
      <c r="S363" t="s">
        <v>3</v>
      </c>
      <c r="T363" t="s">
        <v>175</v>
      </c>
      <c r="U363" t="s">
        <v>84</v>
      </c>
      <c r="V363" t="s">
        <v>85</v>
      </c>
      <c r="W363">
        <v>0.6</v>
      </c>
      <c r="X363" t="s">
        <v>198</v>
      </c>
      <c r="Y363" t="s">
        <v>432</v>
      </c>
      <c r="Z363" t="s">
        <v>13</v>
      </c>
      <c r="AA363" t="s">
        <v>4</v>
      </c>
      <c r="AB363">
        <f xml:space="preserve"> COUNTIF(Fact[[#This Row],[Partner.Partner Driven]], "Yes") / COUNTA(Fact[Opportunity ID])</f>
        <v>0</v>
      </c>
      <c r="AC363">
        <f>IFERROR(INDEX(Fact[[#All],[Opportunity ID]],MATCH(X363,Fact[[#All],[salestage.Sales Stage]],0))/INDEX(Fact[[#All],[Opportunity ID]],MATCH(X362,Fact[[#All],[salestage.Sales Stage]],0)), "")</f>
        <v>14</v>
      </c>
    </row>
    <row r="364" spans="1:29" x14ac:dyDescent="0.3">
      <c r="A364" s="1">
        <v>42124.457638888889</v>
      </c>
      <c r="B364">
        <v>363</v>
      </c>
      <c r="C364">
        <v>2</v>
      </c>
      <c r="D364">
        <v>284</v>
      </c>
      <c r="E364">
        <v>8</v>
      </c>
      <c r="F364">
        <v>23</v>
      </c>
      <c r="G364">
        <v>5396172</v>
      </c>
      <c r="H364" s="5">
        <v>1079234</v>
      </c>
      <c r="I364" s="1">
        <v>7</v>
      </c>
      <c r="J364">
        <v>419</v>
      </c>
      <c r="K364">
        <v>2015</v>
      </c>
      <c r="L364">
        <v>4</v>
      </c>
      <c r="M364" t="s">
        <v>510</v>
      </c>
      <c r="N364" t="s">
        <v>8</v>
      </c>
      <c r="O364" t="s">
        <v>812</v>
      </c>
      <c r="P364">
        <v>315</v>
      </c>
      <c r="Q364">
        <v>2</v>
      </c>
      <c r="R364" t="s">
        <v>143</v>
      </c>
      <c r="S364" t="s">
        <v>8</v>
      </c>
      <c r="T364" t="s">
        <v>192</v>
      </c>
      <c r="U364" t="s">
        <v>526</v>
      </c>
      <c r="V364" t="s">
        <v>72</v>
      </c>
      <c r="W364">
        <v>0.2</v>
      </c>
      <c r="X364" t="s">
        <v>196</v>
      </c>
      <c r="Y364" t="s">
        <v>433</v>
      </c>
      <c r="Z364" t="s">
        <v>8</v>
      </c>
      <c r="AA364" t="s">
        <v>4</v>
      </c>
      <c r="AB364">
        <f xml:space="preserve"> COUNTIF(Fact[[#This Row],[Partner.Partner Driven]], "Yes") / COUNTA(Fact[Opportunity ID])</f>
        <v>2.05761316872428E-3</v>
      </c>
      <c r="AC364">
        <f>IFERROR(INDEX(Fact[[#All],[Opportunity ID]],MATCH(X364,Fact[[#All],[salestage.Sales Stage]],0))/INDEX(Fact[[#All],[Opportunity ID]],MATCH(X363,Fact[[#All],[salestage.Sales Stage]],0)), "")</f>
        <v>3.5714285714285712E-2</v>
      </c>
    </row>
    <row r="365" spans="1:29" x14ac:dyDescent="0.3">
      <c r="A365" s="1">
        <v>42180.457638888889</v>
      </c>
      <c r="B365">
        <v>364</v>
      </c>
      <c r="C365">
        <v>2</v>
      </c>
      <c r="D365">
        <v>285</v>
      </c>
      <c r="E365">
        <v>22</v>
      </c>
      <c r="F365">
        <v>4</v>
      </c>
      <c r="G365">
        <v>5438441</v>
      </c>
      <c r="H365" s="5">
        <v>1087688</v>
      </c>
      <c r="I365" s="1">
        <v>18</v>
      </c>
      <c r="J365">
        <v>372</v>
      </c>
      <c r="K365">
        <v>2015</v>
      </c>
      <c r="L365">
        <v>6</v>
      </c>
      <c r="M365" t="s">
        <v>70</v>
      </c>
      <c r="N365" t="s">
        <v>8</v>
      </c>
      <c r="O365" t="s">
        <v>813</v>
      </c>
      <c r="P365">
        <v>317</v>
      </c>
      <c r="Q365">
        <v>2</v>
      </c>
      <c r="R365" t="s">
        <v>143</v>
      </c>
      <c r="S365" t="s">
        <v>8</v>
      </c>
      <c r="T365" t="s">
        <v>173</v>
      </c>
      <c r="U365" t="s">
        <v>84</v>
      </c>
      <c r="V365" t="s">
        <v>85</v>
      </c>
      <c r="W365">
        <v>0.2</v>
      </c>
      <c r="X365" t="s">
        <v>196</v>
      </c>
      <c r="Y365" t="s">
        <v>434</v>
      </c>
      <c r="Z365" t="s">
        <v>3</v>
      </c>
      <c r="AA365" t="s">
        <v>4</v>
      </c>
      <c r="AB365">
        <f xml:space="preserve"> COUNTIF(Fact[[#This Row],[Partner.Partner Driven]], "Yes") / COUNTA(Fact[Opportunity ID])</f>
        <v>0</v>
      </c>
      <c r="AC365">
        <f>IFERROR(INDEX(Fact[[#All],[Opportunity ID]],MATCH(X365,Fact[[#All],[salestage.Sales Stage]],0))/INDEX(Fact[[#All],[Opportunity ID]],MATCH(X364,Fact[[#All],[salestage.Sales Stage]],0)), "")</f>
        <v>1</v>
      </c>
    </row>
    <row r="366" spans="1:29" x14ac:dyDescent="0.3">
      <c r="A366" s="1">
        <v>42369.457638888889</v>
      </c>
      <c r="B366">
        <v>365</v>
      </c>
      <c r="C366">
        <v>1</v>
      </c>
      <c r="D366">
        <v>286</v>
      </c>
      <c r="E366">
        <v>9</v>
      </c>
      <c r="F366">
        <v>15</v>
      </c>
      <c r="G366">
        <v>3240465</v>
      </c>
      <c r="H366" s="5">
        <v>324047</v>
      </c>
      <c r="I366" s="1">
        <v>27</v>
      </c>
      <c r="J366">
        <v>460</v>
      </c>
      <c r="K366">
        <v>2015</v>
      </c>
      <c r="L366">
        <v>12</v>
      </c>
      <c r="M366" t="s">
        <v>508</v>
      </c>
      <c r="N366" t="s">
        <v>8</v>
      </c>
      <c r="O366" t="s">
        <v>814</v>
      </c>
      <c r="P366">
        <v>199</v>
      </c>
      <c r="Q366">
        <v>2</v>
      </c>
      <c r="R366" t="s">
        <v>143</v>
      </c>
      <c r="S366" t="s">
        <v>8</v>
      </c>
      <c r="T366" t="s">
        <v>184</v>
      </c>
      <c r="U366" t="s">
        <v>78</v>
      </c>
      <c r="V366" t="s">
        <v>72</v>
      </c>
      <c r="W366">
        <v>0.1</v>
      </c>
      <c r="X366" t="s">
        <v>195</v>
      </c>
      <c r="Y366" t="s">
        <v>435</v>
      </c>
      <c r="Z366" t="s">
        <v>3</v>
      </c>
      <c r="AA366" t="s">
        <v>6</v>
      </c>
      <c r="AB366">
        <f xml:space="preserve"> COUNTIF(Fact[[#This Row],[Partner.Partner Driven]], "Yes") / COUNTA(Fact[Opportunity ID])</f>
        <v>2.05761316872428E-3</v>
      </c>
      <c r="AC366">
        <f>IFERROR(INDEX(Fact[[#All],[Opportunity ID]],MATCH(X366,Fact[[#All],[salestage.Sales Stage]],0))/INDEX(Fact[[#All],[Opportunity ID]],MATCH(X365,Fact[[#All],[salestage.Sales Stage]],0)), "")</f>
        <v>2</v>
      </c>
    </row>
    <row r="367" spans="1:29" x14ac:dyDescent="0.3">
      <c r="A367" s="1">
        <v>42125.457638888889</v>
      </c>
      <c r="B367">
        <v>366</v>
      </c>
      <c r="C367">
        <v>2</v>
      </c>
      <c r="D367">
        <v>229</v>
      </c>
      <c r="E367">
        <v>22</v>
      </c>
      <c r="F367">
        <v>22</v>
      </c>
      <c r="G367">
        <v>5034222</v>
      </c>
      <c r="H367" s="5">
        <v>1006844</v>
      </c>
      <c r="I367" s="1">
        <v>1</v>
      </c>
      <c r="J367">
        <v>485</v>
      </c>
      <c r="K367">
        <v>2015</v>
      </c>
      <c r="L367">
        <v>5</v>
      </c>
      <c r="M367" t="s">
        <v>68</v>
      </c>
      <c r="N367" t="s">
        <v>3</v>
      </c>
      <c r="O367" t="s">
        <v>815</v>
      </c>
      <c r="P367">
        <v>298</v>
      </c>
      <c r="Q367">
        <v>2</v>
      </c>
      <c r="R367" t="s">
        <v>143</v>
      </c>
      <c r="S367" t="s">
        <v>3</v>
      </c>
      <c r="T367" t="s">
        <v>191</v>
      </c>
      <c r="U367" t="s">
        <v>84</v>
      </c>
      <c r="V367" t="s">
        <v>85</v>
      </c>
      <c r="W367">
        <v>0.2</v>
      </c>
      <c r="X367" t="s">
        <v>196</v>
      </c>
      <c r="Y367" t="s">
        <v>380</v>
      </c>
      <c r="Z367" t="s">
        <v>3</v>
      </c>
      <c r="AA367" t="s">
        <v>9</v>
      </c>
      <c r="AB367">
        <f xml:space="preserve"> COUNTIF(Fact[[#This Row],[Partner.Partner Driven]], "Yes") / COUNTA(Fact[Opportunity ID])</f>
        <v>0</v>
      </c>
      <c r="AC367">
        <f>IFERROR(INDEX(Fact[[#All],[Opportunity ID]],MATCH(X367,Fact[[#All],[salestage.Sales Stage]],0))/INDEX(Fact[[#All],[Opportunity ID]],MATCH(X366,Fact[[#All],[salestage.Sales Stage]],0)), "")</f>
        <v>0.5</v>
      </c>
    </row>
    <row r="368" spans="1:29" x14ac:dyDescent="0.3">
      <c r="A368" s="1">
        <v>42152.457638888889</v>
      </c>
      <c r="B368">
        <v>367</v>
      </c>
      <c r="C368">
        <v>1</v>
      </c>
      <c r="D368">
        <v>287</v>
      </c>
      <c r="E368">
        <v>22</v>
      </c>
      <c r="F368">
        <v>18</v>
      </c>
      <c r="G368">
        <v>3139133</v>
      </c>
      <c r="H368" s="5">
        <v>313913</v>
      </c>
      <c r="I368" s="1">
        <v>2</v>
      </c>
      <c r="J368">
        <v>452</v>
      </c>
      <c r="K368">
        <v>2015</v>
      </c>
      <c r="L368">
        <v>5</v>
      </c>
      <c r="M368" t="s">
        <v>68</v>
      </c>
      <c r="N368" t="s">
        <v>13</v>
      </c>
      <c r="O368" t="s">
        <v>816</v>
      </c>
      <c r="P368">
        <v>190</v>
      </c>
      <c r="Q368">
        <v>2</v>
      </c>
      <c r="R368" t="s">
        <v>143</v>
      </c>
      <c r="S368" t="s">
        <v>13</v>
      </c>
      <c r="T368" t="s">
        <v>187</v>
      </c>
      <c r="U368" t="s">
        <v>84</v>
      </c>
      <c r="V368" t="s">
        <v>85</v>
      </c>
      <c r="W368">
        <v>0.1</v>
      </c>
      <c r="X368" t="s">
        <v>195</v>
      </c>
      <c r="Y368" t="s">
        <v>436</v>
      </c>
      <c r="Z368" t="s">
        <v>3</v>
      </c>
      <c r="AA368" t="s">
        <v>4</v>
      </c>
      <c r="AB368">
        <f xml:space="preserve"> COUNTIF(Fact[[#This Row],[Partner.Partner Driven]], "Yes") / COUNTA(Fact[Opportunity ID])</f>
        <v>0</v>
      </c>
      <c r="AC368">
        <f>IFERROR(INDEX(Fact[[#All],[Opportunity ID]],MATCH(X368,Fact[[#All],[salestage.Sales Stage]],0))/INDEX(Fact[[#All],[Opportunity ID]],MATCH(X367,Fact[[#All],[salestage.Sales Stage]],0)), "")</f>
        <v>2</v>
      </c>
    </row>
    <row r="369" spans="1:29" x14ac:dyDescent="0.3">
      <c r="A369" s="1">
        <v>42153.457638888889</v>
      </c>
      <c r="B369">
        <v>368</v>
      </c>
      <c r="C369">
        <v>3</v>
      </c>
      <c r="D369">
        <v>78</v>
      </c>
      <c r="E369">
        <v>22</v>
      </c>
      <c r="F369">
        <v>24</v>
      </c>
      <c r="G369">
        <v>2589863</v>
      </c>
      <c r="H369" s="5">
        <v>1035945</v>
      </c>
      <c r="I369" s="1">
        <v>27</v>
      </c>
      <c r="J369">
        <v>367</v>
      </c>
      <c r="K369">
        <v>2015</v>
      </c>
      <c r="L369">
        <v>5</v>
      </c>
      <c r="M369" t="s">
        <v>68</v>
      </c>
      <c r="N369" t="s">
        <v>3</v>
      </c>
      <c r="O369" t="s">
        <v>817</v>
      </c>
      <c r="P369">
        <v>169</v>
      </c>
      <c r="Q369">
        <v>2</v>
      </c>
      <c r="R369" t="s">
        <v>143</v>
      </c>
      <c r="S369" t="s">
        <v>3</v>
      </c>
      <c r="T369" t="s">
        <v>193</v>
      </c>
      <c r="U369" t="s">
        <v>84</v>
      </c>
      <c r="V369" t="s">
        <v>85</v>
      </c>
      <c r="W369">
        <v>0.4</v>
      </c>
      <c r="X369" t="s">
        <v>197</v>
      </c>
      <c r="Y369" t="s">
        <v>229</v>
      </c>
      <c r="Z369" t="s">
        <v>13</v>
      </c>
      <c r="AA369" t="s">
        <v>4</v>
      </c>
      <c r="AB369">
        <f xml:space="preserve"> COUNTIF(Fact[[#This Row],[Partner.Partner Driven]], "Yes") / COUNTA(Fact[Opportunity ID])</f>
        <v>0</v>
      </c>
      <c r="AC369">
        <f>IFERROR(INDEX(Fact[[#All],[Opportunity ID]],MATCH(X369,Fact[[#All],[salestage.Sales Stage]],0))/INDEX(Fact[[#All],[Opportunity ID]],MATCH(X368,Fact[[#All],[salestage.Sales Stage]],0)), "")</f>
        <v>4.5</v>
      </c>
    </row>
    <row r="370" spans="1:29" x14ac:dyDescent="0.3">
      <c r="A370" s="1">
        <v>42153.457638888889</v>
      </c>
      <c r="B370">
        <v>369</v>
      </c>
      <c r="C370">
        <v>1</v>
      </c>
      <c r="D370">
        <v>288</v>
      </c>
      <c r="E370">
        <v>22</v>
      </c>
      <c r="F370">
        <v>9</v>
      </c>
      <c r="G370">
        <v>1541529</v>
      </c>
      <c r="H370" s="5">
        <v>154153</v>
      </c>
      <c r="I370" s="1">
        <v>4</v>
      </c>
      <c r="J370">
        <v>390</v>
      </c>
      <c r="K370">
        <v>2015</v>
      </c>
      <c r="L370">
        <v>5</v>
      </c>
      <c r="M370" t="s">
        <v>68</v>
      </c>
      <c r="N370" t="s">
        <v>13</v>
      </c>
      <c r="O370" t="s">
        <v>818</v>
      </c>
      <c r="P370">
        <v>104</v>
      </c>
      <c r="Q370">
        <v>1</v>
      </c>
      <c r="R370" t="s">
        <v>138</v>
      </c>
      <c r="S370" t="s">
        <v>13</v>
      </c>
      <c r="T370" t="s">
        <v>178</v>
      </c>
      <c r="U370" t="s">
        <v>84</v>
      </c>
      <c r="V370" t="s">
        <v>85</v>
      </c>
      <c r="W370">
        <v>0.1</v>
      </c>
      <c r="X370" t="s">
        <v>195</v>
      </c>
      <c r="Y370" t="s">
        <v>437</v>
      </c>
      <c r="Z370" t="s">
        <v>8</v>
      </c>
      <c r="AA370" t="s">
        <v>4</v>
      </c>
      <c r="AB370">
        <f xml:space="preserve"> COUNTIF(Fact[[#This Row],[Partner.Partner Driven]], "Yes") / COUNTA(Fact[Opportunity ID])</f>
        <v>0</v>
      </c>
      <c r="AC370">
        <f>IFERROR(INDEX(Fact[[#All],[Opportunity ID]],MATCH(X370,Fact[[#All],[salestage.Sales Stage]],0))/INDEX(Fact[[#All],[Opportunity ID]],MATCH(X369,Fact[[#All],[salestage.Sales Stage]],0)), "")</f>
        <v>0.22222222222222221</v>
      </c>
    </row>
    <row r="371" spans="1:29" x14ac:dyDescent="0.3">
      <c r="A371" s="1">
        <v>42181.457638888889</v>
      </c>
      <c r="B371">
        <v>370</v>
      </c>
      <c r="C371">
        <v>1</v>
      </c>
      <c r="D371">
        <v>22</v>
      </c>
      <c r="E371">
        <v>22</v>
      </c>
      <c r="F371">
        <v>16</v>
      </c>
      <c r="G371">
        <v>4984622</v>
      </c>
      <c r="H371" s="5">
        <v>498462</v>
      </c>
      <c r="I371" s="1">
        <v>21</v>
      </c>
      <c r="J371">
        <v>370</v>
      </c>
      <c r="K371">
        <v>2015</v>
      </c>
      <c r="L371">
        <v>6</v>
      </c>
      <c r="M371" t="s">
        <v>70</v>
      </c>
      <c r="N371" t="s">
        <v>13</v>
      </c>
      <c r="O371" t="s">
        <v>820</v>
      </c>
      <c r="P371">
        <v>294</v>
      </c>
      <c r="Q371">
        <v>2</v>
      </c>
      <c r="R371" t="s">
        <v>143</v>
      </c>
      <c r="S371" t="s">
        <v>13</v>
      </c>
      <c r="T371" t="s">
        <v>185</v>
      </c>
      <c r="U371" t="s">
        <v>84</v>
      </c>
      <c r="V371" t="s">
        <v>85</v>
      </c>
      <c r="W371">
        <v>0.1</v>
      </c>
      <c r="X371" t="s">
        <v>195</v>
      </c>
      <c r="Y371" t="s">
        <v>29</v>
      </c>
      <c r="Z371" t="s">
        <v>13</v>
      </c>
      <c r="AA371" t="s">
        <v>4</v>
      </c>
      <c r="AB371">
        <f xml:space="preserve"> COUNTIF(Fact[[#This Row],[Partner.Partner Driven]], "Yes") / COUNTA(Fact[Opportunity ID])</f>
        <v>0</v>
      </c>
      <c r="AC371">
        <f>IFERROR(INDEX(Fact[[#All],[Opportunity ID]],MATCH(X371,Fact[[#All],[salestage.Sales Stage]],0))/INDEX(Fact[[#All],[Opportunity ID]],MATCH(X370,Fact[[#All],[salestage.Sales Stage]],0)), "")</f>
        <v>1</v>
      </c>
    </row>
    <row r="372" spans="1:29" x14ac:dyDescent="0.3">
      <c r="A372" s="1">
        <v>42121.457638888889</v>
      </c>
      <c r="B372">
        <v>371</v>
      </c>
      <c r="C372">
        <v>1</v>
      </c>
      <c r="D372">
        <v>289</v>
      </c>
      <c r="E372">
        <v>22</v>
      </c>
      <c r="F372">
        <v>9</v>
      </c>
      <c r="G372">
        <v>5455757</v>
      </c>
      <c r="H372" s="5">
        <v>545576</v>
      </c>
      <c r="I372" s="1">
        <v>4</v>
      </c>
      <c r="J372">
        <v>478</v>
      </c>
      <c r="K372">
        <v>2015</v>
      </c>
      <c r="L372">
        <v>4</v>
      </c>
      <c r="M372" t="s">
        <v>510</v>
      </c>
      <c r="N372" t="s">
        <v>8</v>
      </c>
      <c r="O372" t="s">
        <v>821</v>
      </c>
      <c r="P372">
        <v>318</v>
      </c>
      <c r="Q372">
        <v>2</v>
      </c>
      <c r="R372" t="s">
        <v>143</v>
      </c>
      <c r="S372" t="s">
        <v>8</v>
      </c>
      <c r="T372" t="s">
        <v>178</v>
      </c>
      <c r="U372" t="s">
        <v>84</v>
      </c>
      <c r="V372" t="s">
        <v>85</v>
      </c>
      <c r="W372">
        <v>0.1</v>
      </c>
      <c r="X372" t="s">
        <v>195</v>
      </c>
      <c r="Y372" t="s">
        <v>438</v>
      </c>
      <c r="Z372" t="s">
        <v>13</v>
      </c>
      <c r="AA372" t="s">
        <v>4</v>
      </c>
      <c r="AB372">
        <f xml:space="preserve"> COUNTIF(Fact[[#This Row],[Partner.Partner Driven]], "Yes") / COUNTA(Fact[Opportunity ID])</f>
        <v>0</v>
      </c>
      <c r="AC372">
        <f>IFERROR(INDEX(Fact[[#All],[Opportunity ID]],MATCH(X372,Fact[[#All],[salestage.Sales Stage]],0))/INDEX(Fact[[#All],[Opportunity ID]],MATCH(X371,Fact[[#All],[salestage.Sales Stage]],0)), "")</f>
        <v>1</v>
      </c>
    </row>
    <row r="373" spans="1:29" x14ac:dyDescent="0.3">
      <c r="A373" s="1">
        <v>42124.457638888889</v>
      </c>
      <c r="B373">
        <v>372</v>
      </c>
      <c r="C373">
        <v>1</v>
      </c>
      <c r="D373">
        <v>290</v>
      </c>
      <c r="E373">
        <v>22</v>
      </c>
      <c r="F373">
        <v>17</v>
      </c>
      <c r="G373">
        <v>4370514</v>
      </c>
      <c r="H373" s="5">
        <v>437051</v>
      </c>
      <c r="I373" s="1">
        <v>21</v>
      </c>
      <c r="J373">
        <v>433</v>
      </c>
      <c r="K373">
        <v>2015</v>
      </c>
      <c r="L373">
        <v>4</v>
      </c>
      <c r="M373" t="s">
        <v>510</v>
      </c>
      <c r="N373" t="s">
        <v>13</v>
      </c>
      <c r="O373" t="s">
        <v>822</v>
      </c>
      <c r="P373">
        <v>264</v>
      </c>
      <c r="Q373">
        <v>2</v>
      </c>
      <c r="R373" t="s">
        <v>143</v>
      </c>
      <c r="S373" t="s">
        <v>13</v>
      </c>
      <c r="T373" t="s">
        <v>186</v>
      </c>
      <c r="U373" t="s">
        <v>84</v>
      </c>
      <c r="V373" t="s">
        <v>85</v>
      </c>
      <c r="W373">
        <v>0.1</v>
      </c>
      <c r="X373" t="s">
        <v>195</v>
      </c>
      <c r="Y373" t="s">
        <v>439</v>
      </c>
      <c r="Z373" t="s">
        <v>8</v>
      </c>
      <c r="AA373" t="s">
        <v>9</v>
      </c>
      <c r="AB373">
        <f xml:space="preserve"> COUNTIF(Fact[[#This Row],[Partner.Partner Driven]], "Yes") / COUNTA(Fact[Opportunity ID])</f>
        <v>0</v>
      </c>
      <c r="AC373">
        <f>IFERROR(INDEX(Fact[[#All],[Opportunity ID]],MATCH(X373,Fact[[#All],[salestage.Sales Stage]],0))/INDEX(Fact[[#All],[Opportunity ID]],MATCH(X372,Fact[[#All],[salestage.Sales Stage]],0)), "")</f>
        <v>1</v>
      </c>
    </row>
    <row r="374" spans="1:29" x14ac:dyDescent="0.3">
      <c r="A374" s="1">
        <v>42185.457638888889</v>
      </c>
      <c r="B374">
        <v>373</v>
      </c>
      <c r="C374">
        <v>1</v>
      </c>
      <c r="D374">
        <v>291</v>
      </c>
      <c r="E374">
        <v>22</v>
      </c>
      <c r="F374">
        <v>8</v>
      </c>
      <c r="G374">
        <v>5626094</v>
      </c>
      <c r="H374" s="5">
        <v>562609</v>
      </c>
      <c r="I374" s="1">
        <v>19</v>
      </c>
      <c r="J374">
        <v>376</v>
      </c>
      <c r="K374">
        <v>2015</v>
      </c>
      <c r="L374">
        <v>6</v>
      </c>
      <c r="M374" t="s">
        <v>70</v>
      </c>
      <c r="N374" t="s">
        <v>8</v>
      </c>
      <c r="O374" t="s">
        <v>823</v>
      </c>
      <c r="P374">
        <v>322</v>
      </c>
      <c r="Q374">
        <v>2</v>
      </c>
      <c r="R374" t="s">
        <v>143</v>
      </c>
      <c r="S374" t="s">
        <v>8</v>
      </c>
      <c r="T374" t="s">
        <v>177</v>
      </c>
      <c r="U374" t="s">
        <v>84</v>
      </c>
      <c r="V374" t="s">
        <v>85</v>
      </c>
      <c r="W374">
        <v>0.1</v>
      </c>
      <c r="X374" t="s">
        <v>195</v>
      </c>
      <c r="Y374" t="s">
        <v>440</v>
      </c>
      <c r="Z374" t="s">
        <v>13</v>
      </c>
      <c r="AA374" t="s">
        <v>4</v>
      </c>
      <c r="AB374">
        <f xml:space="preserve"> COUNTIF(Fact[[#This Row],[Partner.Partner Driven]], "Yes") / COUNTA(Fact[Opportunity ID])</f>
        <v>0</v>
      </c>
      <c r="AC374">
        <f>IFERROR(INDEX(Fact[[#All],[Opportunity ID]],MATCH(X374,Fact[[#All],[salestage.Sales Stage]],0))/INDEX(Fact[[#All],[Opportunity ID]],MATCH(X373,Fact[[#All],[salestage.Sales Stage]],0)), "")</f>
        <v>1</v>
      </c>
    </row>
    <row r="375" spans="1:29" x14ac:dyDescent="0.3">
      <c r="A375" s="1">
        <v>42185.457638888889</v>
      </c>
      <c r="B375">
        <v>374</v>
      </c>
      <c r="C375">
        <v>1</v>
      </c>
      <c r="D375">
        <v>292</v>
      </c>
      <c r="E375">
        <v>22</v>
      </c>
      <c r="F375">
        <v>6</v>
      </c>
      <c r="G375">
        <v>595469</v>
      </c>
      <c r="H375" s="5">
        <v>59547</v>
      </c>
      <c r="I375" s="1">
        <v>8</v>
      </c>
      <c r="J375">
        <v>448</v>
      </c>
      <c r="K375">
        <v>2015</v>
      </c>
      <c r="L375">
        <v>6</v>
      </c>
      <c r="M375" t="s">
        <v>70</v>
      </c>
      <c r="N375" t="s">
        <v>3</v>
      </c>
      <c r="O375" t="s">
        <v>824</v>
      </c>
      <c r="P375">
        <v>49</v>
      </c>
      <c r="Q375">
        <v>1</v>
      </c>
      <c r="R375" t="s">
        <v>138</v>
      </c>
      <c r="S375" t="s">
        <v>3</v>
      </c>
      <c r="T375" t="s">
        <v>175</v>
      </c>
      <c r="U375" t="s">
        <v>84</v>
      </c>
      <c r="V375" t="s">
        <v>85</v>
      </c>
      <c r="W375">
        <v>0.1</v>
      </c>
      <c r="X375" t="s">
        <v>195</v>
      </c>
      <c r="Y375" t="s">
        <v>441</v>
      </c>
      <c r="Z375" t="s">
        <v>3</v>
      </c>
      <c r="AA375" t="s">
        <v>9</v>
      </c>
      <c r="AB375">
        <f xml:space="preserve"> COUNTIF(Fact[[#This Row],[Partner.Partner Driven]], "Yes") / COUNTA(Fact[Opportunity ID])</f>
        <v>0</v>
      </c>
      <c r="AC375">
        <f>IFERROR(INDEX(Fact[[#All],[Opportunity ID]],MATCH(X375,Fact[[#All],[salestage.Sales Stage]],0))/INDEX(Fact[[#All],[Opportunity ID]],MATCH(X374,Fact[[#All],[salestage.Sales Stage]],0)), "")</f>
        <v>1</v>
      </c>
    </row>
    <row r="376" spans="1:29" x14ac:dyDescent="0.3">
      <c r="A376" s="1">
        <v>42369.457638888889</v>
      </c>
      <c r="B376">
        <v>375</v>
      </c>
      <c r="C376">
        <v>1</v>
      </c>
      <c r="D376">
        <v>293</v>
      </c>
      <c r="E376">
        <v>12</v>
      </c>
      <c r="F376">
        <v>1</v>
      </c>
      <c r="G376">
        <v>6461315</v>
      </c>
      <c r="H376" s="5">
        <v>646132</v>
      </c>
      <c r="I376" s="1">
        <v>15</v>
      </c>
      <c r="J376">
        <v>656</v>
      </c>
      <c r="K376">
        <v>2015</v>
      </c>
      <c r="L376">
        <v>12</v>
      </c>
      <c r="M376" t="s">
        <v>508</v>
      </c>
      <c r="N376" t="s">
        <v>13</v>
      </c>
      <c r="O376" t="s">
        <v>825</v>
      </c>
      <c r="P376">
        <v>366</v>
      </c>
      <c r="Q376">
        <v>3</v>
      </c>
      <c r="R376" t="s">
        <v>9</v>
      </c>
      <c r="S376" t="s">
        <v>13</v>
      </c>
      <c r="T376" t="s">
        <v>170</v>
      </c>
      <c r="U376" t="s">
        <v>112</v>
      </c>
      <c r="V376" t="s">
        <v>72</v>
      </c>
      <c r="W376">
        <v>0.1</v>
      </c>
      <c r="X376" t="s">
        <v>195</v>
      </c>
      <c r="Y376" t="s">
        <v>442</v>
      </c>
      <c r="Z376" t="s">
        <v>8</v>
      </c>
      <c r="AA376" t="s">
        <v>6</v>
      </c>
      <c r="AB376">
        <f xml:space="preserve"> COUNTIF(Fact[[#This Row],[Partner.Partner Driven]], "Yes") / COUNTA(Fact[Opportunity ID])</f>
        <v>2.05761316872428E-3</v>
      </c>
      <c r="AC376">
        <f>IFERROR(INDEX(Fact[[#All],[Opportunity ID]],MATCH(X376,Fact[[#All],[salestage.Sales Stage]],0))/INDEX(Fact[[#All],[Opportunity ID]],MATCH(X375,Fact[[#All],[salestage.Sales Stage]],0)), "")</f>
        <v>1</v>
      </c>
    </row>
    <row r="377" spans="1:29" x14ac:dyDescent="0.3">
      <c r="A377" s="1">
        <v>42121.457638888889</v>
      </c>
      <c r="B377">
        <v>376</v>
      </c>
      <c r="C377">
        <v>3</v>
      </c>
      <c r="D377">
        <v>32</v>
      </c>
      <c r="E377">
        <v>22</v>
      </c>
      <c r="F377">
        <v>12</v>
      </c>
      <c r="G377">
        <v>4441789</v>
      </c>
      <c r="H377" s="5">
        <v>1776716</v>
      </c>
      <c r="I377" s="1">
        <v>17</v>
      </c>
      <c r="J377">
        <v>434</v>
      </c>
      <c r="K377">
        <v>2015</v>
      </c>
      <c r="L377">
        <v>4</v>
      </c>
      <c r="M377" t="s">
        <v>510</v>
      </c>
      <c r="N377" t="s">
        <v>13</v>
      </c>
      <c r="O377" t="s">
        <v>826</v>
      </c>
      <c r="P377">
        <v>268</v>
      </c>
      <c r="Q377">
        <v>2</v>
      </c>
      <c r="R377" t="s">
        <v>143</v>
      </c>
      <c r="S377" t="s">
        <v>13</v>
      </c>
      <c r="T377" t="s">
        <v>181</v>
      </c>
      <c r="U377" t="s">
        <v>84</v>
      </c>
      <c r="V377" t="s">
        <v>85</v>
      </c>
      <c r="W377">
        <v>0.4</v>
      </c>
      <c r="X377" t="s">
        <v>197</v>
      </c>
      <c r="Y377" t="s">
        <v>39</v>
      </c>
      <c r="Z377" t="s">
        <v>13</v>
      </c>
      <c r="AA377" t="s">
        <v>9</v>
      </c>
      <c r="AB377">
        <f xml:space="preserve"> COUNTIF(Fact[[#This Row],[Partner.Partner Driven]], "Yes") / COUNTA(Fact[Opportunity ID])</f>
        <v>0</v>
      </c>
      <c r="AC377">
        <f>IFERROR(INDEX(Fact[[#All],[Opportunity ID]],MATCH(X377,Fact[[#All],[salestage.Sales Stage]],0))/INDEX(Fact[[#All],[Opportunity ID]],MATCH(X376,Fact[[#All],[salestage.Sales Stage]],0)), "")</f>
        <v>4.5</v>
      </c>
    </row>
    <row r="378" spans="1:29" x14ac:dyDescent="0.3">
      <c r="A378" s="1">
        <v>42019.457638888889</v>
      </c>
      <c r="B378">
        <v>377</v>
      </c>
      <c r="C378">
        <v>3</v>
      </c>
      <c r="D378">
        <v>204</v>
      </c>
      <c r="E378">
        <v>25</v>
      </c>
      <c r="F378">
        <v>15</v>
      </c>
      <c r="G378">
        <v>960271</v>
      </c>
      <c r="H378" s="5">
        <v>384108</v>
      </c>
      <c r="I378" s="1">
        <v>1</v>
      </c>
      <c r="J378">
        <v>379</v>
      </c>
      <c r="K378">
        <v>2015</v>
      </c>
      <c r="L378">
        <v>1</v>
      </c>
      <c r="M378" t="s">
        <v>511</v>
      </c>
      <c r="N378" t="s">
        <v>8</v>
      </c>
      <c r="O378" t="s">
        <v>827</v>
      </c>
      <c r="P378">
        <v>69</v>
      </c>
      <c r="Q378">
        <v>1</v>
      </c>
      <c r="R378" t="s">
        <v>138</v>
      </c>
      <c r="S378" t="s">
        <v>8</v>
      </c>
      <c r="T378" t="s">
        <v>184</v>
      </c>
      <c r="U378" t="s">
        <v>124</v>
      </c>
      <c r="V378" t="s">
        <v>72</v>
      </c>
      <c r="W378">
        <v>0.4</v>
      </c>
      <c r="X378" t="s">
        <v>197</v>
      </c>
      <c r="Y378" t="s">
        <v>355</v>
      </c>
      <c r="Z378" t="s">
        <v>3</v>
      </c>
      <c r="AA378" t="s">
        <v>4</v>
      </c>
      <c r="AB378">
        <f xml:space="preserve"> COUNTIF(Fact[[#This Row],[Partner.Partner Driven]], "Yes") / COUNTA(Fact[Opportunity ID])</f>
        <v>2.05761316872428E-3</v>
      </c>
      <c r="AC378">
        <f>IFERROR(INDEX(Fact[[#All],[Opportunity ID]],MATCH(X378,Fact[[#All],[salestage.Sales Stage]],0))/INDEX(Fact[[#All],[Opportunity ID]],MATCH(X377,Fact[[#All],[salestage.Sales Stage]],0)), "")</f>
        <v>1</v>
      </c>
    </row>
    <row r="379" spans="1:29" x14ac:dyDescent="0.3">
      <c r="A379" s="1">
        <v>42185.457638888889</v>
      </c>
      <c r="B379">
        <v>378</v>
      </c>
      <c r="C379">
        <v>3</v>
      </c>
      <c r="D379">
        <v>70</v>
      </c>
      <c r="E379">
        <v>22</v>
      </c>
      <c r="F379">
        <v>1</v>
      </c>
      <c r="G379">
        <v>1446339</v>
      </c>
      <c r="H379" s="5">
        <v>578536</v>
      </c>
      <c r="I379" s="1">
        <v>15</v>
      </c>
      <c r="J379">
        <v>500</v>
      </c>
      <c r="K379">
        <v>2015</v>
      </c>
      <c r="L379">
        <v>6</v>
      </c>
      <c r="M379" t="s">
        <v>70</v>
      </c>
      <c r="N379" t="s">
        <v>3</v>
      </c>
      <c r="O379" t="s">
        <v>828</v>
      </c>
      <c r="P379">
        <v>97</v>
      </c>
      <c r="Q379">
        <v>1</v>
      </c>
      <c r="R379" t="s">
        <v>138</v>
      </c>
      <c r="S379" t="s">
        <v>3</v>
      </c>
      <c r="T379" t="s">
        <v>170</v>
      </c>
      <c r="U379" t="s">
        <v>84</v>
      </c>
      <c r="V379" t="s">
        <v>85</v>
      </c>
      <c r="W379">
        <v>0.4</v>
      </c>
      <c r="X379" t="s">
        <v>197</v>
      </c>
      <c r="Y379" t="s">
        <v>221</v>
      </c>
      <c r="Z379" t="s">
        <v>8</v>
      </c>
      <c r="AA379" t="s">
        <v>9</v>
      </c>
      <c r="AB379">
        <f xml:space="preserve"> COUNTIF(Fact[[#This Row],[Partner.Partner Driven]], "Yes") / COUNTA(Fact[Opportunity ID])</f>
        <v>0</v>
      </c>
      <c r="AC379">
        <f>IFERROR(INDEX(Fact[[#All],[Opportunity ID]],MATCH(X379,Fact[[#All],[salestage.Sales Stage]],0))/INDEX(Fact[[#All],[Opportunity ID]],MATCH(X378,Fact[[#All],[salestage.Sales Stage]],0)), "")</f>
        <v>1</v>
      </c>
    </row>
    <row r="380" spans="1:29" x14ac:dyDescent="0.3">
      <c r="A380" s="1">
        <v>42369.457638888889</v>
      </c>
      <c r="B380">
        <v>379</v>
      </c>
      <c r="C380">
        <v>1</v>
      </c>
      <c r="D380">
        <v>294</v>
      </c>
      <c r="E380">
        <v>22</v>
      </c>
      <c r="F380">
        <v>2</v>
      </c>
      <c r="G380">
        <v>2043333</v>
      </c>
      <c r="H380" s="5">
        <v>204333</v>
      </c>
      <c r="I380" s="1">
        <v>27</v>
      </c>
      <c r="J380">
        <v>460</v>
      </c>
      <c r="K380">
        <v>2015</v>
      </c>
      <c r="L380">
        <v>12</v>
      </c>
      <c r="M380" t="s">
        <v>508</v>
      </c>
      <c r="N380" t="s">
        <v>8</v>
      </c>
      <c r="O380" t="s">
        <v>829</v>
      </c>
      <c r="P380">
        <v>135</v>
      </c>
      <c r="Q380">
        <v>1</v>
      </c>
      <c r="R380" t="s">
        <v>138</v>
      </c>
      <c r="S380" t="s">
        <v>8</v>
      </c>
      <c r="T380" t="s">
        <v>171</v>
      </c>
      <c r="U380" t="s">
        <v>84</v>
      </c>
      <c r="V380" t="s">
        <v>85</v>
      </c>
      <c r="W380">
        <v>0.1</v>
      </c>
      <c r="X380" t="s">
        <v>195</v>
      </c>
      <c r="Y380" t="s">
        <v>443</v>
      </c>
      <c r="Z380" t="s">
        <v>3</v>
      </c>
      <c r="AA380" t="s">
        <v>6</v>
      </c>
      <c r="AB380">
        <f xml:space="preserve"> COUNTIF(Fact[[#This Row],[Partner.Partner Driven]], "Yes") / COUNTA(Fact[Opportunity ID])</f>
        <v>0</v>
      </c>
      <c r="AC380">
        <f>IFERROR(INDEX(Fact[[#All],[Opportunity ID]],MATCH(X380,Fact[[#All],[salestage.Sales Stage]],0))/INDEX(Fact[[#All],[Opportunity ID]],MATCH(X379,Fact[[#All],[salestage.Sales Stage]],0)), "")</f>
        <v>0.22222222222222221</v>
      </c>
    </row>
    <row r="381" spans="1:29" x14ac:dyDescent="0.3">
      <c r="A381" s="1">
        <v>42118.457638888889</v>
      </c>
      <c r="B381">
        <v>380</v>
      </c>
      <c r="C381">
        <v>2</v>
      </c>
      <c r="D381">
        <v>295</v>
      </c>
      <c r="E381">
        <v>22</v>
      </c>
      <c r="F381">
        <v>22</v>
      </c>
      <c r="G381">
        <v>4285464</v>
      </c>
      <c r="H381" s="5">
        <v>857093</v>
      </c>
      <c r="I381" s="1">
        <v>1</v>
      </c>
      <c r="J381">
        <v>447</v>
      </c>
      <c r="K381">
        <v>2015</v>
      </c>
      <c r="L381">
        <v>4</v>
      </c>
      <c r="M381" t="s">
        <v>510</v>
      </c>
      <c r="N381" t="s">
        <v>3</v>
      </c>
      <c r="O381" t="s">
        <v>831</v>
      </c>
      <c r="P381">
        <v>260</v>
      </c>
      <c r="Q381">
        <v>2</v>
      </c>
      <c r="R381" t="s">
        <v>143</v>
      </c>
      <c r="S381" t="s">
        <v>3</v>
      </c>
      <c r="T381" t="s">
        <v>191</v>
      </c>
      <c r="U381" t="s">
        <v>84</v>
      </c>
      <c r="V381" t="s">
        <v>85</v>
      </c>
      <c r="W381">
        <v>0.2</v>
      </c>
      <c r="X381" t="s">
        <v>196</v>
      </c>
      <c r="Y381" t="s">
        <v>444</v>
      </c>
      <c r="Z381" t="s">
        <v>3</v>
      </c>
      <c r="AA381" t="s">
        <v>6</v>
      </c>
      <c r="AB381">
        <f xml:space="preserve"> COUNTIF(Fact[[#This Row],[Partner.Partner Driven]], "Yes") / COUNTA(Fact[Opportunity ID])</f>
        <v>0</v>
      </c>
      <c r="AC381">
        <f>IFERROR(INDEX(Fact[[#All],[Opportunity ID]],MATCH(X381,Fact[[#All],[salestage.Sales Stage]],0))/INDEX(Fact[[#All],[Opportunity ID]],MATCH(X380,Fact[[#All],[salestage.Sales Stage]],0)), "")</f>
        <v>0.5</v>
      </c>
    </row>
    <row r="382" spans="1:29" x14ac:dyDescent="0.3">
      <c r="A382" s="1">
        <v>42369.457638888889</v>
      </c>
      <c r="B382">
        <v>381</v>
      </c>
      <c r="C382">
        <v>1</v>
      </c>
      <c r="D382">
        <v>223</v>
      </c>
      <c r="E382">
        <v>22</v>
      </c>
      <c r="F382">
        <v>3</v>
      </c>
      <c r="G382">
        <v>4249685</v>
      </c>
      <c r="H382" s="5">
        <v>424969</v>
      </c>
      <c r="I382" s="1">
        <v>1</v>
      </c>
      <c r="J382">
        <v>395</v>
      </c>
      <c r="K382">
        <v>2015</v>
      </c>
      <c r="L382">
        <v>12</v>
      </c>
      <c r="M382" t="s">
        <v>508</v>
      </c>
      <c r="N382" t="s">
        <v>3</v>
      </c>
      <c r="O382" t="s">
        <v>832</v>
      </c>
      <c r="P382">
        <v>257</v>
      </c>
      <c r="Q382">
        <v>2</v>
      </c>
      <c r="R382" t="s">
        <v>143</v>
      </c>
      <c r="S382" t="s">
        <v>3</v>
      </c>
      <c r="T382" t="s">
        <v>172</v>
      </c>
      <c r="U382" t="s">
        <v>84</v>
      </c>
      <c r="V382" t="s">
        <v>85</v>
      </c>
      <c r="W382">
        <v>0.1</v>
      </c>
      <c r="X382" t="s">
        <v>195</v>
      </c>
      <c r="Y382" t="s">
        <v>374</v>
      </c>
      <c r="Z382" t="s">
        <v>3</v>
      </c>
      <c r="AA382" t="s">
        <v>6</v>
      </c>
      <c r="AB382">
        <f xml:space="preserve"> COUNTIF(Fact[[#This Row],[Partner.Partner Driven]], "Yes") / COUNTA(Fact[Opportunity ID])</f>
        <v>0</v>
      </c>
      <c r="AC382">
        <f>IFERROR(INDEX(Fact[[#All],[Opportunity ID]],MATCH(X382,Fact[[#All],[salestage.Sales Stage]],0))/INDEX(Fact[[#All],[Opportunity ID]],MATCH(X381,Fact[[#All],[salestage.Sales Stage]],0)), "")</f>
        <v>2</v>
      </c>
    </row>
    <row r="383" spans="1:29" x14ac:dyDescent="0.3">
      <c r="A383" s="1">
        <v>42184.457638888889</v>
      </c>
      <c r="B383">
        <v>382</v>
      </c>
      <c r="C383">
        <v>3</v>
      </c>
      <c r="D383">
        <v>296</v>
      </c>
      <c r="E383">
        <v>22</v>
      </c>
      <c r="F383">
        <v>7</v>
      </c>
      <c r="G383">
        <v>740103</v>
      </c>
      <c r="H383" s="5">
        <v>296041</v>
      </c>
      <c r="I383" s="1">
        <v>1</v>
      </c>
      <c r="J383">
        <v>544</v>
      </c>
      <c r="K383">
        <v>2015</v>
      </c>
      <c r="L383">
        <v>6</v>
      </c>
      <c r="M383" t="s">
        <v>70</v>
      </c>
      <c r="N383" t="s">
        <v>13</v>
      </c>
      <c r="O383" t="s">
        <v>833</v>
      </c>
      <c r="P383">
        <v>57</v>
      </c>
      <c r="Q383">
        <v>1</v>
      </c>
      <c r="R383" t="s">
        <v>138</v>
      </c>
      <c r="S383" t="s">
        <v>13</v>
      </c>
      <c r="T383" t="s">
        <v>176</v>
      </c>
      <c r="U383" t="s">
        <v>84</v>
      </c>
      <c r="V383" t="s">
        <v>85</v>
      </c>
      <c r="W383">
        <v>0.4</v>
      </c>
      <c r="X383" t="s">
        <v>197</v>
      </c>
      <c r="Y383" t="s">
        <v>445</v>
      </c>
      <c r="Z383" t="s">
        <v>13</v>
      </c>
      <c r="AA383" t="s">
        <v>9</v>
      </c>
      <c r="AB383">
        <f xml:space="preserve"> COUNTIF(Fact[[#This Row],[Partner.Partner Driven]], "Yes") / COUNTA(Fact[Opportunity ID])</f>
        <v>0</v>
      </c>
      <c r="AC383">
        <f>IFERROR(INDEX(Fact[[#All],[Opportunity ID]],MATCH(X383,Fact[[#All],[salestage.Sales Stage]],0))/INDEX(Fact[[#All],[Opportunity ID]],MATCH(X382,Fact[[#All],[salestage.Sales Stage]],0)), "")</f>
        <v>4.5</v>
      </c>
    </row>
    <row r="384" spans="1:29" x14ac:dyDescent="0.3">
      <c r="A384" s="1">
        <v>42140.457638888889</v>
      </c>
      <c r="B384">
        <v>383</v>
      </c>
      <c r="C384">
        <v>1</v>
      </c>
      <c r="D384">
        <v>297</v>
      </c>
      <c r="E384">
        <v>8</v>
      </c>
      <c r="F384">
        <v>15</v>
      </c>
      <c r="G384">
        <v>8718878</v>
      </c>
      <c r="H384" s="5">
        <v>871888</v>
      </c>
      <c r="I384" s="1">
        <v>7</v>
      </c>
      <c r="J384">
        <v>463</v>
      </c>
      <c r="K384">
        <v>2015</v>
      </c>
      <c r="L384">
        <v>5</v>
      </c>
      <c r="M384" t="s">
        <v>68</v>
      </c>
      <c r="N384" t="s">
        <v>8</v>
      </c>
      <c r="O384" t="s">
        <v>834</v>
      </c>
      <c r="P384">
        <v>431</v>
      </c>
      <c r="Q384">
        <v>3</v>
      </c>
      <c r="R384" t="s">
        <v>9</v>
      </c>
      <c r="S384" t="s">
        <v>8</v>
      </c>
      <c r="T384" t="s">
        <v>184</v>
      </c>
      <c r="U384" t="s">
        <v>526</v>
      </c>
      <c r="V384" t="s">
        <v>72</v>
      </c>
      <c r="W384">
        <v>0.1</v>
      </c>
      <c r="X384" t="s">
        <v>195</v>
      </c>
      <c r="Y384" t="s">
        <v>446</v>
      </c>
      <c r="Z384" t="s">
        <v>13</v>
      </c>
      <c r="AA384" t="s">
        <v>9</v>
      </c>
      <c r="AB384">
        <f xml:space="preserve"> COUNTIF(Fact[[#This Row],[Partner.Partner Driven]], "Yes") / COUNTA(Fact[Opportunity ID])</f>
        <v>2.05761316872428E-3</v>
      </c>
      <c r="AC384">
        <f>IFERROR(INDEX(Fact[[#All],[Opportunity ID]],MATCH(X384,Fact[[#All],[salestage.Sales Stage]],0))/INDEX(Fact[[#All],[Opportunity ID]],MATCH(X383,Fact[[#All],[salestage.Sales Stage]],0)), "")</f>
        <v>0.22222222222222221</v>
      </c>
    </row>
    <row r="385" spans="1:29" x14ac:dyDescent="0.3">
      <c r="A385" s="1">
        <v>42184.457638888889</v>
      </c>
      <c r="B385">
        <v>384</v>
      </c>
      <c r="C385">
        <v>1</v>
      </c>
      <c r="D385">
        <v>298</v>
      </c>
      <c r="E385">
        <v>22</v>
      </c>
      <c r="F385">
        <v>10</v>
      </c>
      <c r="G385">
        <v>2386868</v>
      </c>
      <c r="H385" s="5">
        <v>238687</v>
      </c>
      <c r="I385" s="1">
        <v>1</v>
      </c>
      <c r="J385">
        <v>454</v>
      </c>
      <c r="K385">
        <v>2015</v>
      </c>
      <c r="L385">
        <v>6</v>
      </c>
      <c r="M385" t="s">
        <v>70</v>
      </c>
      <c r="N385" t="s">
        <v>3</v>
      </c>
      <c r="O385" t="s">
        <v>835</v>
      </c>
      <c r="P385">
        <v>159</v>
      </c>
      <c r="Q385">
        <v>1</v>
      </c>
      <c r="R385" t="s">
        <v>138</v>
      </c>
      <c r="S385" t="s">
        <v>3</v>
      </c>
      <c r="T385" t="s">
        <v>179</v>
      </c>
      <c r="U385" t="s">
        <v>84</v>
      </c>
      <c r="V385" t="s">
        <v>85</v>
      </c>
      <c r="W385">
        <v>0.1</v>
      </c>
      <c r="X385" t="s">
        <v>195</v>
      </c>
      <c r="Y385" t="s">
        <v>447</v>
      </c>
      <c r="Z385" t="s">
        <v>13</v>
      </c>
      <c r="AA385" t="s">
        <v>9</v>
      </c>
      <c r="AB385">
        <f xml:space="preserve"> COUNTIF(Fact[[#This Row],[Partner.Partner Driven]], "Yes") / COUNTA(Fact[Opportunity ID])</f>
        <v>0</v>
      </c>
      <c r="AC385">
        <f>IFERROR(INDEX(Fact[[#All],[Opportunity ID]],MATCH(X385,Fact[[#All],[salestage.Sales Stage]],0))/INDEX(Fact[[#All],[Opportunity ID]],MATCH(X384,Fact[[#All],[salestage.Sales Stage]],0)), "")</f>
        <v>1</v>
      </c>
    </row>
    <row r="386" spans="1:29" x14ac:dyDescent="0.3">
      <c r="A386" s="1">
        <v>42184.457638888889</v>
      </c>
      <c r="B386">
        <v>385</v>
      </c>
      <c r="C386">
        <v>2</v>
      </c>
      <c r="D386">
        <v>299</v>
      </c>
      <c r="E386">
        <v>22</v>
      </c>
      <c r="F386">
        <v>10</v>
      </c>
      <c r="G386">
        <v>4415130</v>
      </c>
      <c r="H386" s="5">
        <v>883026</v>
      </c>
      <c r="I386" s="1">
        <v>9</v>
      </c>
      <c r="J386">
        <v>446</v>
      </c>
      <c r="K386">
        <v>2015</v>
      </c>
      <c r="L386">
        <v>6</v>
      </c>
      <c r="M386" t="s">
        <v>70</v>
      </c>
      <c r="N386" t="s">
        <v>3</v>
      </c>
      <c r="O386" t="s">
        <v>836</v>
      </c>
      <c r="P386">
        <v>266</v>
      </c>
      <c r="Q386">
        <v>2</v>
      </c>
      <c r="R386" t="s">
        <v>143</v>
      </c>
      <c r="S386" t="s">
        <v>3</v>
      </c>
      <c r="T386" t="s">
        <v>179</v>
      </c>
      <c r="U386" t="s">
        <v>84</v>
      </c>
      <c r="V386" t="s">
        <v>85</v>
      </c>
      <c r="W386">
        <v>0.2</v>
      </c>
      <c r="X386" t="s">
        <v>196</v>
      </c>
      <c r="Y386" t="s">
        <v>448</v>
      </c>
      <c r="Z386" t="s">
        <v>13</v>
      </c>
      <c r="AA386" t="s">
        <v>4</v>
      </c>
      <c r="AB386">
        <f xml:space="preserve"> COUNTIF(Fact[[#This Row],[Partner.Partner Driven]], "Yes") / COUNTA(Fact[Opportunity ID])</f>
        <v>0</v>
      </c>
      <c r="AC386">
        <f>IFERROR(INDEX(Fact[[#All],[Opportunity ID]],MATCH(X386,Fact[[#All],[salestage.Sales Stage]],0))/INDEX(Fact[[#All],[Opportunity ID]],MATCH(X385,Fact[[#All],[salestage.Sales Stage]],0)), "")</f>
        <v>0.5</v>
      </c>
    </row>
    <row r="387" spans="1:29" x14ac:dyDescent="0.3">
      <c r="A387" s="1">
        <v>42167.457638888889</v>
      </c>
      <c r="B387">
        <v>386</v>
      </c>
      <c r="C387">
        <v>1</v>
      </c>
      <c r="D387">
        <v>300</v>
      </c>
      <c r="E387">
        <v>22</v>
      </c>
      <c r="F387">
        <v>23</v>
      </c>
      <c r="G387">
        <v>1853211</v>
      </c>
      <c r="H387" s="5">
        <v>185321</v>
      </c>
      <c r="I387" s="1">
        <v>12</v>
      </c>
      <c r="J387">
        <v>426</v>
      </c>
      <c r="K387">
        <v>2015</v>
      </c>
      <c r="L387">
        <v>6</v>
      </c>
      <c r="M387" t="s">
        <v>70</v>
      </c>
      <c r="N387" t="s">
        <v>3</v>
      </c>
      <c r="O387" t="s">
        <v>837</v>
      </c>
      <c r="P387">
        <v>124</v>
      </c>
      <c r="Q387">
        <v>1</v>
      </c>
      <c r="R387" t="s">
        <v>138</v>
      </c>
      <c r="S387" t="s">
        <v>3</v>
      </c>
      <c r="T387" t="s">
        <v>192</v>
      </c>
      <c r="U387" t="s">
        <v>84</v>
      </c>
      <c r="V387" t="s">
        <v>85</v>
      </c>
      <c r="W387">
        <v>0.1</v>
      </c>
      <c r="X387" t="s">
        <v>195</v>
      </c>
      <c r="Y387" t="s">
        <v>449</v>
      </c>
      <c r="Z387" t="s">
        <v>13</v>
      </c>
      <c r="AA387" t="s">
        <v>4</v>
      </c>
      <c r="AB387">
        <f xml:space="preserve"> COUNTIF(Fact[[#This Row],[Partner.Partner Driven]], "Yes") / COUNTA(Fact[Opportunity ID])</f>
        <v>0</v>
      </c>
      <c r="AC387">
        <f>IFERROR(INDEX(Fact[[#All],[Opportunity ID]],MATCH(X387,Fact[[#All],[salestage.Sales Stage]],0))/INDEX(Fact[[#All],[Opportunity ID]],MATCH(X386,Fact[[#All],[salestage.Sales Stage]],0)), "")</f>
        <v>2</v>
      </c>
    </row>
    <row r="388" spans="1:29" x14ac:dyDescent="0.3">
      <c r="A388" s="1">
        <v>42184.457638888889</v>
      </c>
      <c r="B388">
        <v>387</v>
      </c>
      <c r="C388">
        <v>2</v>
      </c>
      <c r="D388">
        <v>246</v>
      </c>
      <c r="E388">
        <v>22</v>
      </c>
      <c r="F388">
        <v>25</v>
      </c>
      <c r="G388">
        <v>4915845</v>
      </c>
      <c r="H388" s="5">
        <v>983169</v>
      </c>
      <c r="I388" s="1">
        <v>17</v>
      </c>
      <c r="J388">
        <v>528</v>
      </c>
      <c r="K388">
        <v>2015</v>
      </c>
      <c r="L388">
        <v>6</v>
      </c>
      <c r="M388" t="s">
        <v>70</v>
      </c>
      <c r="N388" t="s">
        <v>13</v>
      </c>
      <c r="O388" t="s">
        <v>838</v>
      </c>
      <c r="P388">
        <v>287</v>
      </c>
      <c r="Q388">
        <v>2</v>
      </c>
      <c r="R388" t="s">
        <v>143</v>
      </c>
      <c r="S388" t="s">
        <v>13</v>
      </c>
      <c r="T388" t="s">
        <v>194</v>
      </c>
      <c r="U388" t="s">
        <v>84</v>
      </c>
      <c r="V388" t="s">
        <v>85</v>
      </c>
      <c r="W388">
        <v>0.2</v>
      </c>
      <c r="X388" t="s">
        <v>196</v>
      </c>
      <c r="Y388" t="s">
        <v>397</v>
      </c>
      <c r="Z388" t="s">
        <v>13</v>
      </c>
      <c r="AA388" t="s">
        <v>4</v>
      </c>
      <c r="AB388">
        <f xml:space="preserve"> COUNTIF(Fact[[#This Row],[Partner.Partner Driven]], "Yes") / COUNTA(Fact[Opportunity ID])</f>
        <v>0</v>
      </c>
      <c r="AC388">
        <f>IFERROR(INDEX(Fact[[#All],[Opportunity ID]],MATCH(X388,Fact[[#All],[salestage.Sales Stage]],0))/INDEX(Fact[[#All],[Opportunity ID]],MATCH(X387,Fact[[#All],[salestage.Sales Stage]],0)), "")</f>
        <v>0.5</v>
      </c>
    </row>
    <row r="389" spans="1:29" x14ac:dyDescent="0.3">
      <c r="A389" s="1">
        <v>42184.457638888889</v>
      </c>
      <c r="B389">
        <v>388</v>
      </c>
      <c r="C389">
        <v>2</v>
      </c>
      <c r="D389">
        <v>301</v>
      </c>
      <c r="E389">
        <v>22</v>
      </c>
      <c r="F389">
        <v>23</v>
      </c>
      <c r="G389">
        <v>5672615</v>
      </c>
      <c r="H389" s="5">
        <v>1134523</v>
      </c>
      <c r="I389" s="1">
        <v>16</v>
      </c>
      <c r="J389">
        <v>529</v>
      </c>
      <c r="K389">
        <v>2015</v>
      </c>
      <c r="L389">
        <v>6</v>
      </c>
      <c r="M389" t="s">
        <v>70</v>
      </c>
      <c r="N389" t="s">
        <v>3</v>
      </c>
      <c r="O389" t="s">
        <v>839</v>
      </c>
      <c r="P389">
        <v>327</v>
      </c>
      <c r="Q389">
        <v>3</v>
      </c>
      <c r="R389" t="s">
        <v>9</v>
      </c>
      <c r="S389" t="s">
        <v>3</v>
      </c>
      <c r="T389" t="s">
        <v>192</v>
      </c>
      <c r="U389" t="s">
        <v>84</v>
      </c>
      <c r="V389" t="s">
        <v>85</v>
      </c>
      <c r="W389">
        <v>0.2</v>
      </c>
      <c r="X389" t="s">
        <v>196</v>
      </c>
      <c r="Y389" t="s">
        <v>450</v>
      </c>
      <c r="Z389" t="s">
        <v>8</v>
      </c>
      <c r="AA389" t="s">
        <v>9</v>
      </c>
      <c r="AB389">
        <f xml:space="preserve"> COUNTIF(Fact[[#This Row],[Partner.Partner Driven]], "Yes") / COUNTA(Fact[Opportunity ID])</f>
        <v>0</v>
      </c>
      <c r="AC389">
        <f>IFERROR(INDEX(Fact[[#All],[Opportunity ID]],MATCH(X389,Fact[[#All],[salestage.Sales Stage]],0))/INDEX(Fact[[#All],[Opportunity ID]],MATCH(X388,Fact[[#All],[salestage.Sales Stage]],0)), "")</f>
        <v>1</v>
      </c>
    </row>
    <row r="390" spans="1:29" x14ac:dyDescent="0.3">
      <c r="A390" s="1">
        <v>42184.457638888889</v>
      </c>
      <c r="B390">
        <v>389</v>
      </c>
      <c r="C390">
        <v>2</v>
      </c>
      <c r="D390">
        <v>302</v>
      </c>
      <c r="E390">
        <v>22</v>
      </c>
      <c r="F390">
        <v>14</v>
      </c>
      <c r="G390">
        <v>3085396</v>
      </c>
      <c r="H390" s="5">
        <v>617079</v>
      </c>
      <c r="I390" s="1">
        <v>17</v>
      </c>
      <c r="J390">
        <v>438</v>
      </c>
      <c r="K390">
        <v>2015</v>
      </c>
      <c r="L390">
        <v>6</v>
      </c>
      <c r="M390" t="s">
        <v>70</v>
      </c>
      <c r="N390" t="s">
        <v>3</v>
      </c>
      <c r="O390" t="s">
        <v>840</v>
      </c>
      <c r="P390">
        <v>187</v>
      </c>
      <c r="Q390">
        <v>2</v>
      </c>
      <c r="R390" t="s">
        <v>143</v>
      </c>
      <c r="S390" t="s">
        <v>3</v>
      </c>
      <c r="T390" t="s">
        <v>183</v>
      </c>
      <c r="U390" t="s">
        <v>84</v>
      </c>
      <c r="V390" t="s">
        <v>85</v>
      </c>
      <c r="W390">
        <v>0.2</v>
      </c>
      <c r="X390" t="s">
        <v>196</v>
      </c>
      <c r="Y390" t="s">
        <v>451</v>
      </c>
      <c r="Z390" t="s">
        <v>8</v>
      </c>
      <c r="AA390" t="s">
        <v>4</v>
      </c>
      <c r="AB390">
        <f xml:space="preserve"> COUNTIF(Fact[[#This Row],[Partner.Partner Driven]], "Yes") / COUNTA(Fact[Opportunity ID])</f>
        <v>0</v>
      </c>
      <c r="AC390">
        <f>IFERROR(INDEX(Fact[[#All],[Opportunity ID]],MATCH(X390,Fact[[#All],[salestage.Sales Stage]],0))/INDEX(Fact[[#All],[Opportunity ID]],MATCH(X389,Fact[[#All],[salestage.Sales Stage]],0)), "")</f>
        <v>1</v>
      </c>
    </row>
    <row r="391" spans="1:29" x14ac:dyDescent="0.3">
      <c r="A391" s="1">
        <v>42167.457638888889</v>
      </c>
      <c r="B391">
        <v>390</v>
      </c>
      <c r="C391">
        <v>1</v>
      </c>
      <c r="D391">
        <v>303</v>
      </c>
      <c r="E391">
        <v>22</v>
      </c>
      <c r="F391">
        <v>25</v>
      </c>
      <c r="G391">
        <v>5460728</v>
      </c>
      <c r="H391" s="5">
        <v>546073</v>
      </c>
      <c r="I391" s="1">
        <v>1</v>
      </c>
      <c r="J391">
        <v>376</v>
      </c>
      <c r="K391">
        <v>2015</v>
      </c>
      <c r="L391">
        <v>6</v>
      </c>
      <c r="M391" t="s">
        <v>70</v>
      </c>
      <c r="N391" t="s">
        <v>13</v>
      </c>
      <c r="O391" t="s">
        <v>842</v>
      </c>
      <c r="P391">
        <v>319</v>
      </c>
      <c r="Q391">
        <v>2</v>
      </c>
      <c r="R391" t="s">
        <v>143</v>
      </c>
      <c r="S391" t="s">
        <v>13</v>
      </c>
      <c r="T391" t="s">
        <v>194</v>
      </c>
      <c r="U391" t="s">
        <v>84</v>
      </c>
      <c r="V391" t="s">
        <v>85</v>
      </c>
      <c r="W391">
        <v>0.1</v>
      </c>
      <c r="X391" t="s">
        <v>195</v>
      </c>
      <c r="Y391" t="s">
        <v>452</v>
      </c>
      <c r="Z391" t="s">
        <v>13</v>
      </c>
      <c r="AA391" t="s">
        <v>4</v>
      </c>
      <c r="AB391">
        <f xml:space="preserve"> COUNTIF(Fact[[#This Row],[Partner.Partner Driven]], "Yes") / COUNTA(Fact[Opportunity ID])</f>
        <v>0</v>
      </c>
      <c r="AC391">
        <f>IFERROR(INDEX(Fact[[#All],[Opportunity ID]],MATCH(X391,Fact[[#All],[salestage.Sales Stage]],0))/INDEX(Fact[[#All],[Opportunity ID]],MATCH(X390,Fact[[#All],[salestage.Sales Stage]],0)), "")</f>
        <v>2</v>
      </c>
    </row>
    <row r="392" spans="1:29" x14ac:dyDescent="0.3">
      <c r="A392" s="1">
        <v>42167.457638888889</v>
      </c>
      <c r="B392">
        <v>391</v>
      </c>
      <c r="C392">
        <v>1</v>
      </c>
      <c r="D392">
        <v>304</v>
      </c>
      <c r="E392">
        <v>55</v>
      </c>
      <c r="F392">
        <v>7</v>
      </c>
      <c r="G392">
        <v>972039</v>
      </c>
      <c r="H392" s="5">
        <v>97204</v>
      </c>
      <c r="I392" s="1">
        <v>9</v>
      </c>
      <c r="J392">
        <v>368</v>
      </c>
      <c r="K392">
        <v>2015</v>
      </c>
      <c r="L392">
        <v>6</v>
      </c>
      <c r="M392" t="s">
        <v>70</v>
      </c>
      <c r="N392" t="s">
        <v>13</v>
      </c>
      <c r="O392" t="s">
        <v>843</v>
      </c>
      <c r="P392">
        <v>72</v>
      </c>
      <c r="Q392">
        <v>1</v>
      </c>
      <c r="R392" t="s">
        <v>138</v>
      </c>
      <c r="S392" t="s">
        <v>13</v>
      </c>
      <c r="T392" t="s">
        <v>176</v>
      </c>
      <c r="U392" t="s">
        <v>134</v>
      </c>
      <c r="V392" t="s">
        <v>72</v>
      </c>
      <c r="W392">
        <v>0.1</v>
      </c>
      <c r="X392" t="s">
        <v>195</v>
      </c>
      <c r="Y392" t="s">
        <v>453</v>
      </c>
      <c r="Z392" t="s">
        <v>13</v>
      </c>
      <c r="AA392" t="s">
        <v>4</v>
      </c>
      <c r="AB392">
        <f xml:space="preserve"> COUNTIF(Fact[[#This Row],[Partner.Partner Driven]], "Yes") / COUNTA(Fact[Opportunity ID])</f>
        <v>2.05761316872428E-3</v>
      </c>
      <c r="AC392">
        <f>IFERROR(INDEX(Fact[[#All],[Opportunity ID]],MATCH(X392,Fact[[#All],[salestage.Sales Stage]],0))/INDEX(Fact[[#All],[Opportunity ID]],MATCH(X391,Fact[[#All],[salestage.Sales Stage]],0)), "")</f>
        <v>1</v>
      </c>
    </row>
    <row r="393" spans="1:29" x14ac:dyDescent="0.3">
      <c r="A393" s="1">
        <v>42369.457638888889</v>
      </c>
      <c r="B393">
        <v>392</v>
      </c>
      <c r="C393">
        <v>1</v>
      </c>
      <c r="D393">
        <v>305</v>
      </c>
      <c r="E393">
        <v>22</v>
      </c>
      <c r="F393">
        <v>11</v>
      </c>
      <c r="G393">
        <v>65932</v>
      </c>
      <c r="H393" s="5">
        <v>6593</v>
      </c>
      <c r="I393" s="1">
        <v>25</v>
      </c>
      <c r="J393">
        <v>401</v>
      </c>
      <c r="K393">
        <v>2015</v>
      </c>
      <c r="L393">
        <v>12</v>
      </c>
      <c r="M393" t="s">
        <v>508</v>
      </c>
      <c r="N393" t="s">
        <v>13</v>
      </c>
      <c r="O393" t="s">
        <v>844</v>
      </c>
      <c r="P393">
        <v>6</v>
      </c>
      <c r="Q393">
        <v>1</v>
      </c>
      <c r="R393" t="s">
        <v>138</v>
      </c>
      <c r="S393" t="s">
        <v>13</v>
      </c>
      <c r="T393" t="s">
        <v>180</v>
      </c>
      <c r="U393" t="s">
        <v>84</v>
      </c>
      <c r="V393" t="s">
        <v>85</v>
      </c>
      <c r="W393">
        <v>0.1</v>
      </c>
      <c r="X393" t="s">
        <v>195</v>
      </c>
      <c r="Y393" t="s">
        <v>454</v>
      </c>
      <c r="Z393" t="s">
        <v>3</v>
      </c>
      <c r="AA393" t="s">
        <v>4</v>
      </c>
      <c r="AB393">
        <f xml:space="preserve"> COUNTIF(Fact[[#This Row],[Partner.Partner Driven]], "Yes") / COUNTA(Fact[Opportunity ID])</f>
        <v>0</v>
      </c>
      <c r="AC393">
        <f>IFERROR(INDEX(Fact[[#All],[Opportunity ID]],MATCH(X393,Fact[[#All],[salestage.Sales Stage]],0))/INDEX(Fact[[#All],[Opportunity ID]],MATCH(X392,Fact[[#All],[salestage.Sales Stage]],0)), "")</f>
        <v>1</v>
      </c>
    </row>
    <row r="394" spans="1:29" x14ac:dyDescent="0.3">
      <c r="A394" s="1">
        <v>42185.457638888889</v>
      </c>
      <c r="B394">
        <v>393</v>
      </c>
      <c r="C394">
        <v>1</v>
      </c>
      <c r="D394">
        <v>306</v>
      </c>
      <c r="E394">
        <v>22</v>
      </c>
      <c r="F394">
        <v>4</v>
      </c>
      <c r="G394">
        <v>3412054</v>
      </c>
      <c r="H394" s="5">
        <v>341205</v>
      </c>
      <c r="I394" s="1">
        <v>8</v>
      </c>
      <c r="J394">
        <v>387</v>
      </c>
      <c r="K394">
        <v>2015</v>
      </c>
      <c r="L394">
        <v>6</v>
      </c>
      <c r="M394" t="s">
        <v>70</v>
      </c>
      <c r="N394" t="s">
        <v>3</v>
      </c>
      <c r="O394" t="s">
        <v>845</v>
      </c>
      <c r="P394">
        <v>210</v>
      </c>
      <c r="Q394">
        <v>2</v>
      </c>
      <c r="R394" t="s">
        <v>143</v>
      </c>
      <c r="S394" t="s">
        <v>3</v>
      </c>
      <c r="T394" t="s">
        <v>173</v>
      </c>
      <c r="U394" t="s">
        <v>84</v>
      </c>
      <c r="V394" t="s">
        <v>85</v>
      </c>
      <c r="W394">
        <v>0.1</v>
      </c>
      <c r="X394" t="s">
        <v>195</v>
      </c>
      <c r="Y394" t="s">
        <v>455</v>
      </c>
      <c r="Z394" t="s">
        <v>13</v>
      </c>
      <c r="AA394" t="s">
        <v>9</v>
      </c>
      <c r="AB394">
        <f xml:space="preserve"> COUNTIF(Fact[[#This Row],[Partner.Partner Driven]], "Yes") / COUNTA(Fact[Opportunity ID])</f>
        <v>0</v>
      </c>
      <c r="AC394">
        <f>IFERROR(INDEX(Fact[[#All],[Opportunity ID]],MATCH(X394,Fact[[#All],[salestage.Sales Stage]],0))/INDEX(Fact[[#All],[Opportunity ID]],MATCH(X393,Fact[[#All],[salestage.Sales Stage]],0)), "")</f>
        <v>1</v>
      </c>
    </row>
    <row r="395" spans="1:29" x14ac:dyDescent="0.3">
      <c r="A395" s="1">
        <v>42185.457638888889</v>
      </c>
      <c r="B395">
        <v>394</v>
      </c>
      <c r="C395">
        <v>1</v>
      </c>
      <c r="D395">
        <v>307</v>
      </c>
      <c r="E395">
        <v>22</v>
      </c>
      <c r="F395">
        <v>11</v>
      </c>
      <c r="G395">
        <v>5981812</v>
      </c>
      <c r="H395" s="5">
        <v>598181</v>
      </c>
      <c r="I395" s="1">
        <v>1</v>
      </c>
      <c r="J395">
        <v>394</v>
      </c>
      <c r="K395">
        <v>2015</v>
      </c>
      <c r="L395">
        <v>6</v>
      </c>
      <c r="M395" t="s">
        <v>70</v>
      </c>
      <c r="N395" t="s">
        <v>13</v>
      </c>
      <c r="O395" t="s">
        <v>846</v>
      </c>
      <c r="P395">
        <v>342</v>
      </c>
      <c r="Q395">
        <v>3</v>
      </c>
      <c r="R395" t="s">
        <v>9</v>
      </c>
      <c r="S395" t="s">
        <v>13</v>
      </c>
      <c r="T395" t="s">
        <v>180</v>
      </c>
      <c r="U395" t="s">
        <v>84</v>
      </c>
      <c r="V395" t="s">
        <v>85</v>
      </c>
      <c r="W395">
        <v>0.1</v>
      </c>
      <c r="X395" t="s">
        <v>195</v>
      </c>
      <c r="Y395" t="s">
        <v>456</v>
      </c>
      <c r="Z395" t="s">
        <v>13</v>
      </c>
      <c r="AA395" t="s">
        <v>9</v>
      </c>
      <c r="AB395">
        <f xml:space="preserve"> COUNTIF(Fact[[#This Row],[Partner.Partner Driven]], "Yes") / COUNTA(Fact[Opportunity ID])</f>
        <v>0</v>
      </c>
      <c r="AC395">
        <f>IFERROR(INDEX(Fact[[#All],[Opportunity ID]],MATCH(X395,Fact[[#All],[salestage.Sales Stage]],0))/INDEX(Fact[[#All],[Opportunity ID]],MATCH(X394,Fact[[#All],[salestage.Sales Stage]],0)), "")</f>
        <v>1</v>
      </c>
    </row>
    <row r="396" spans="1:29" x14ac:dyDescent="0.3">
      <c r="A396" s="1">
        <v>42179.457638888889</v>
      </c>
      <c r="B396">
        <v>395</v>
      </c>
      <c r="C396">
        <v>1</v>
      </c>
      <c r="D396">
        <v>308</v>
      </c>
      <c r="E396">
        <v>22</v>
      </c>
      <c r="F396">
        <v>21</v>
      </c>
      <c r="G396">
        <v>4022403</v>
      </c>
      <c r="H396" s="5">
        <v>402240</v>
      </c>
      <c r="I396" s="1">
        <v>7</v>
      </c>
      <c r="J396">
        <v>413</v>
      </c>
      <c r="K396">
        <v>2015</v>
      </c>
      <c r="L396">
        <v>6</v>
      </c>
      <c r="M396" t="s">
        <v>70</v>
      </c>
      <c r="N396" t="s">
        <v>3</v>
      </c>
      <c r="O396" t="s">
        <v>847</v>
      </c>
      <c r="P396">
        <v>245</v>
      </c>
      <c r="Q396">
        <v>2</v>
      </c>
      <c r="R396" t="s">
        <v>143</v>
      </c>
      <c r="S396" t="s">
        <v>3</v>
      </c>
      <c r="T396" t="s">
        <v>190</v>
      </c>
      <c r="U396" t="s">
        <v>84</v>
      </c>
      <c r="V396" t="s">
        <v>85</v>
      </c>
      <c r="W396">
        <v>0.1</v>
      </c>
      <c r="X396" t="s">
        <v>195</v>
      </c>
      <c r="Y396" t="s">
        <v>457</v>
      </c>
      <c r="Z396" t="s">
        <v>13</v>
      </c>
      <c r="AA396" t="s">
        <v>9</v>
      </c>
      <c r="AB396">
        <f xml:space="preserve"> COUNTIF(Fact[[#This Row],[Partner.Partner Driven]], "Yes") / COUNTA(Fact[Opportunity ID])</f>
        <v>0</v>
      </c>
      <c r="AC396">
        <f>IFERROR(INDEX(Fact[[#All],[Opportunity ID]],MATCH(X396,Fact[[#All],[salestage.Sales Stage]],0))/INDEX(Fact[[#All],[Opportunity ID]],MATCH(X395,Fact[[#All],[salestage.Sales Stage]],0)), "")</f>
        <v>1</v>
      </c>
    </row>
    <row r="397" spans="1:29" x14ac:dyDescent="0.3">
      <c r="A397" s="1">
        <v>42152.457638888889</v>
      </c>
      <c r="B397">
        <v>396</v>
      </c>
      <c r="C397">
        <v>1</v>
      </c>
      <c r="D397">
        <v>309</v>
      </c>
      <c r="E397">
        <v>22</v>
      </c>
      <c r="F397">
        <v>11</v>
      </c>
      <c r="G397">
        <v>657213</v>
      </c>
      <c r="H397" s="5">
        <v>65721</v>
      </c>
      <c r="I397" s="1">
        <v>8</v>
      </c>
      <c r="J397">
        <v>446</v>
      </c>
      <c r="K397">
        <v>2015</v>
      </c>
      <c r="L397">
        <v>5</v>
      </c>
      <c r="M397" t="s">
        <v>68</v>
      </c>
      <c r="N397" t="s">
        <v>3</v>
      </c>
      <c r="O397" t="s">
        <v>848</v>
      </c>
      <c r="P397">
        <v>51</v>
      </c>
      <c r="Q397">
        <v>1</v>
      </c>
      <c r="R397" t="s">
        <v>138</v>
      </c>
      <c r="S397" t="s">
        <v>3</v>
      </c>
      <c r="T397" t="s">
        <v>180</v>
      </c>
      <c r="U397" t="s">
        <v>84</v>
      </c>
      <c r="V397" t="s">
        <v>85</v>
      </c>
      <c r="W397">
        <v>0.1</v>
      </c>
      <c r="X397" t="s">
        <v>195</v>
      </c>
      <c r="Y397" t="s">
        <v>458</v>
      </c>
      <c r="Z397" t="s">
        <v>13</v>
      </c>
      <c r="AA397" t="s">
        <v>4</v>
      </c>
      <c r="AB397">
        <f xml:space="preserve"> COUNTIF(Fact[[#This Row],[Partner.Partner Driven]], "Yes") / COUNTA(Fact[Opportunity ID])</f>
        <v>0</v>
      </c>
      <c r="AC397">
        <f>IFERROR(INDEX(Fact[[#All],[Opportunity ID]],MATCH(X397,Fact[[#All],[salestage.Sales Stage]],0))/INDEX(Fact[[#All],[Opportunity ID]],MATCH(X396,Fact[[#All],[salestage.Sales Stage]],0)), "")</f>
        <v>1</v>
      </c>
    </row>
    <row r="398" spans="1:29" x14ac:dyDescent="0.3">
      <c r="A398" s="1">
        <v>42107.457638888889</v>
      </c>
      <c r="B398">
        <v>397</v>
      </c>
      <c r="C398">
        <v>4</v>
      </c>
      <c r="D398">
        <v>310</v>
      </c>
      <c r="E398">
        <v>22</v>
      </c>
      <c r="F398">
        <v>15</v>
      </c>
      <c r="G398">
        <v>5952410</v>
      </c>
      <c r="H398" s="5">
        <v>3571446</v>
      </c>
      <c r="I398" s="1">
        <v>7</v>
      </c>
      <c r="J398">
        <v>461</v>
      </c>
      <c r="K398">
        <v>2015</v>
      </c>
      <c r="L398">
        <v>4</v>
      </c>
      <c r="M398" t="s">
        <v>510</v>
      </c>
      <c r="N398" t="s">
        <v>13</v>
      </c>
      <c r="O398" t="s">
        <v>849</v>
      </c>
      <c r="P398">
        <v>340</v>
      </c>
      <c r="Q398">
        <v>3</v>
      </c>
      <c r="R398" t="s">
        <v>9</v>
      </c>
      <c r="S398" t="s">
        <v>13</v>
      </c>
      <c r="T398" t="s">
        <v>184</v>
      </c>
      <c r="U398" t="s">
        <v>84</v>
      </c>
      <c r="V398" t="s">
        <v>85</v>
      </c>
      <c r="W398">
        <v>0.6</v>
      </c>
      <c r="X398" t="s">
        <v>198</v>
      </c>
      <c r="Y398" t="s">
        <v>459</v>
      </c>
      <c r="Z398" t="s">
        <v>13</v>
      </c>
      <c r="AA398" t="s">
        <v>9</v>
      </c>
      <c r="AB398">
        <f xml:space="preserve"> COUNTIF(Fact[[#This Row],[Partner.Partner Driven]], "Yes") / COUNTA(Fact[Opportunity ID])</f>
        <v>0</v>
      </c>
      <c r="AC398">
        <f>IFERROR(INDEX(Fact[[#All],[Opportunity ID]],MATCH(X398,Fact[[#All],[salestage.Sales Stage]],0))/INDEX(Fact[[#All],[Opportunity ID]],MATCH(X397,Fact[[#All],[salestage.Sales Stage]],0)), "")</f>
        <v>14</v>
      </c>
    </row>
    <row r="399" spans="1:29" x14ac:dyDescent="0.3">
      <c r="A399" s="1">
        <v>42152.457638888889</v>
      </c>
      <c r="B399">
        <v>398</v>
      </c>
      <c r="C399">
        <v>1</v>
      </c>
      <c r="D399">
        <v>311</v>
      </c>
      <c r="E399">
        <v>22</v>
      </c>
      <c r="F399">
        <v>2</v>
      </c>
      <c r="G399">
        <v>5022767</v>
      </c>
      <c r="H399" s="5">
        <v>502277</v>
      </c>
      <c r="I399" s="1">
        <v>1</v>
      </c>
      <c r="J399">
        <v>422</v>
      </c>
      <c r="K399">
        <v>2015</v>
      </c>
      <c r="L399">
        <v>5</v>
      </c>
      <c r="M399" t="s">
        <v>68</v>
      </c>
      <c r="N399" t="s">
        <v>3</v>
      </c>
      <c r="O399" t="s">
        <v>850</v>
      </c>
      <c r="P399">
        <v>296</v>
      </c>
      <c r="Q399">
        <v>2</v>
      </c>
      <c r="R399" t="s">
        <v>143</v>
      </c>
      <c r="S399" t="s">
        <v>3</v>
      </c>
      <c r="T399" t="s">
        <v>171</v>
      </c>
      <c r="U399" t="s">
        <v>84</v>
      </c>
      <c r="V399" t="s">
        <v>85</v>
      </c>
      <c r="W399">
        <v>0.1</v>
      </c>
      <c r="X399" t="s">
        <v>195</v>
      </c>
      <c r="Y399" t="s">
        <v>460</v>
      </c>
      <c r="Z399" t="s">
        <v>13</v>
      </c>
      <c r="AA399" t="s">
        <v>4</v>
      </c>
      <c r="AB399">
        <f xml:space="preserve"> COUNTIF(Fact[[#This Row],[Partner.Partner Driven]], "Yes") / COUNTA(Fact[Opportunity ID])</f>
        <v>0</v>
      </c>
      <c r="AC399">
        <f>IFERROR(INDEX(Fact[[#All],[Opportunity ID]],MATCH(X399,Fact[[#All],[salestage.Sales Stage]],0))/INDEX(Fact[[#All],[Opportunity ID]],MATCH(X398,Fact[[#All],[salestage.Sales Stage]],0)), "")</f>
        <v>7.1428571428571425E-2</v>
      </c>
    </row>
    <row r="400" spans="1:29" x14ac:dyDescent="0.3">
      <c r="A400" s="1">
        <v>42062.457638888889</v>
      </c>
      <c r="B400">
        <v>399</v>
      </c>
      <c r="C400">
        <v>3</v>
      </c>
      <c r="D400">
        <v>312</v>
      </c>
      <c r="E400">
        <v>84</v>
      </c>
      <c r="F400">
        <v>2</v>
      </c>
      <c r="G400">
        <v>5064488</v>
      </c>
      <c r="H400" s="5">
        <v>2025795</v>
      </c>
      <c r="I400" s="1">
        <v>26</v>
      </c>
      <c r="J400">
        <v>366</v>
      </c>
      <c r="K400">
        <v>2015</v>
      </c>
      <c r="L400">
        <v>2</v>
      </c>
      <c r="M400" t="s">
        <v>509</v>
      </c>
      <c r="N400" t="s">
        <v>8</v>
      </c>
      <c r="O400" t="s">
        <v>851</v>
      </c>
      <c r="P400">
        <v>299</v>
      </c>
      <c r="Q400">
        <v>2</v>
      </c>
      <c r="R400" t="s">
        <v>143</v>
      </c>
      <c r="S400" t="s">
        <v>8</v>
      </c>
      <c r="T400" t="s">
        <v>171</v>
      </c>
      <c r="U400" t="s">
        <v>114</v>
      </c>
      <c r="V400" t="s">
        <v>72</v>
      </c>
      <c r="W400">
        <v>0.4</v>
      </c>
      <c r="X400" t="s">
        <v>197</v>
      </c>
      <c r="Y400" t="s">
        <v>461</v>
      </c>
      <c r="Z400" t="s">
        <v>13</v>
      </c>
      <c r="AA400" t="s">
        <v>6</v>
      </c>
      <c r="AB400">
        <f xml:space="preserve"> COUNTIF(Fact[[#This Row],[Partner.Partner Driven]], "Yes") / COUNTA(Fact[Opportunity ID])</f>
        <v>2.05761316872428E-3</v>
      </c>
      <c r="AC400">
        <f>IFERROR(INDEX(Fact[[#All],[Opportunity ID]],MATCH(X400,Fact[[#All],[salestage.Sales Stage]],0))/INDEX(Fact[[#All],[Opportunity ID]],MATCH(X399,Fact[[#All],[salestage.Sales Stage]],0)), "")</f>
        <v>4.5</v>
      </c>
    </row>
    <row r="401" spans="1:29" x14ac:dyDescent="0.3">
      <c r="A401" s="1">
        <v>42027.457638888889</v>
      </c>
      <c r="B401">
        <v>400</v>
      </c>
      <c r="C401">
        <v>5</v>
      </c>
      <c r="D401">
        <v>313</v>
      </c>
      <c r="E401">
        <v>22</v>
      </c>
      <c r="F401">
        <v>5</v>
      </c>
      <c r="G401">
        <v>3546375</v>
      </c>
      <c r="H401" s="5">
        <v>2837100</v>
      </c>
      <c r="I401" s="1">
        <v>10</v>
      </c>
      <c r="J401">
        <v>378</v>
      </c>
      <c r="K401">
        <v>2015</v>
      </c>
      <c r="L401">
        <v>1</v>
      </c>
      <c r="M401" t="s">
        <v>511</v>
      </c>
      <c r="N401" t="s">
        <v>13</v>
      </c>
      <c r="O401" t="s">
        <v>854</v>
      </c>
      <c r="P401">
        <v>218</v>
      </c>
      <c r="Q401">
        <v>2</v>
      </c>
      <c r="R401" t="s">
        <v>143</v>
      </c>
      <c r="S401" t="s">
        <v>13</v>
      </c>
      <c r="T401" t="s">
        <v>174</v>
      </c>
      <c r="U401" t="s">
        <v>84</v>
      </c>
      <c r="V401" t="s">
        <v>85</v>
      </c>
      <c r="W401">
        <v>0.8</v>
      </c>
      <c r="X401" t="s">
        <v>199</v>
      </c>
      <c r="Y401" t="s">
        <v>462</v>
      </c>
      <c r="Z401" t="s">
        <v>8</v>
      </c>
      <c r="AA401" t="s">
        <v>4</v>
      </c>
      <c r="AB401">
        <f xml:space="preserve"> COUNTIF(Fact[[#This Row],[Partner.Partner Driven]], "Yes") / COUNTA(Fact[Opportunity ID])</f>
        <v>0</v>
      </c>
      <c r="AC401">
        <f>IFERROR(INDEX(Fact[[#All],[Opportunity ID]],MATCH(X401,Fact[[#All],[salestage.Sales Stage]],0))/INDEX(Fact[[#All],[Opportunity ID]],MATCH(X400,Fact[[#All],[salestage.Sales Stage]],0)), "")</f>
        <v>6</v>
      </c>
    </row>
    <row r="402" spans="1:29" x14ac:dyDescent="0.3">
      <c r="A402" s="1">
        <v>42369.457638888889</v>
      </c>
      <c r="B402">
        <v>401</v>
      </c>
      <c r="C402">
        <v>1</v>
      </c>
      <c r="D402">
        <v>314</v>
      </c>
      <c r="E402">
        <v>85</v>
      </c>
      <c r="F402">
        <v>12</v>
      </c>
      <c r="G402">
        <v>8018865</v>
      </c>
      <c r="H402" s="5">
        <v>801887</v>
      </c>
      <c r="I402" s="1">
        <v>7</v>
      </c>
      <c r="J402">
        <v>511</v>
      </c>
      <c r="K402">
        <v>2015</v>
      </c>
      <c r="L402">
        <v>12</v>
      </c>
      <c r="M402" t="s">
        <v>508</v>
      </c>
      <c r="N402" t="s">
        <v>13</v>
      </c>
      <c r="O402" t="s">
        <v>855</v>
      </c>
      <c r="P402">
        <v>415</v>
      </c>
      <c r="Q402">
        <v>3</v>
      </c>
      <c r="R402" t="s">
        <v>9</v>
      </c>
      <c r="S402" t="s">
        <v>13</v>
      </c>
      <c r="T402" t="s">
        <v>181</v>
      </c>
      <c r="U402" t="s">
        <v>94</v>
      </c>
      <c r="V402" t="s">
        <v>72</v>
      </c>
      <c r="W402">
        <v>0.1</v>
      </c>
      <c r="X402" t="s">
        <v>195</v>
      </c>
      <c r="Y402" t="s">
        <v>463</v>
      </c>
      <c r="Z402" t="s">
        <v>8</v>
      </c>
      <c r="AA402" t="s">
        <v>6</v>
      </c>
      <c r="AB402">
        <f xml:space="preserve"> COUNTIF(Fact[[#This Row],[Partner.Partner Driven]], "Yes") / COUNTA(Fact[Opportunity ID])</f>
        <v>2.05761316872428E-3</v>
      </c>
      <c r="AC402">
        <f>IFERROR(INDEX(Fact[[#All],[Opportunity ID]],MATCH(X402,Fact[[#All],[salestage.Sales Stage]],0))/INDEX(Fact[[#All],[Opportunity ID]],MATCH(X401,Fact[[#All],[salestage.Sales Stage]],0)), "")</f>
        <v>3.7037037037037035E-2</v>
      </c>
    </row>
    <row r="403" spans="1:29" x14ac:dyDescent="0.3">
      <c r="A403" s="1">
        <v>42155.457638888889</v>
      </c>
      <c r="B403">
        <v>402</v>
      </c>
      <c r="C403">
        <v>3</v>
      </c>
      <c r="D403">
        <v>239</v>
      </c>
      <c r="E403">
        <v>22</v>
      </c>
      <c r="F403">
        <v>21</v>
      </c>
      <c r="G403">
        <v>124644</v>
      </c>
      <c r="H403" s="5">
        <v>49858</v>
      </c>
      <c r="I403" s="1">
        <v>22</v>
      </c>
      <c r="J403">
        <v>404</v>
      </c>
      <c r="K403">
        <v>2015</v>
      </c>
      <c r="L403">
        <v>5</v>
      </c>
      <c r="M403" t="s">
        <v>68</v>
      </c>
      <c r="N403" t="s">
        <v>13</v>
      </c>
      <c r="O403" t="s">
        <v>856</v>
      </c>
      <c r="P403">
        <v>15</v>
      </c>
      <c r="Q403">
        <v>1</v>
      </c>
      <c r="R403" t="s">
        <v>138</v>
      </c>
      <c r="S403" t="s">
        <v>13</v>
      </c>
      <c r="T403" t="s">
        <v>190</v>
      </c>
      <c r="U403" t="s">
        <v>84</v>
      </c>
      <c r="V403" t="s">
        <v>85</v>
      </c>
      <c r="W403">
        <v>0.4</v>
      </c>
      <c r="X403" t="s">
        <v>197</v>
      </c>
      <c r="Y403" t="s">
        <v>390</v>
      </c>
      <c r="Z403" t="s">
        <v>13</v>
      </c>
      <c r="AA403" t="s">
        <v>4</v>
      </c>
      <c r="AB403">
        <f xml:space="preserve"> COUNTIF(Fact[[#This Row],[Partner.Partner Driven]], "Yes") / COUNTA(Fact[Opportunity ID])</f>
        <v>0</v>
      </c>
      <c r="AC403">
        <f>IFERROR(INDEX(Fact[[#All],[Opportunity ID]],MATCH(X403,Fact[[#All],[salestage.Sales Stage]],0))/INDEX(Fact[[#All],[Opportunity ID]],MATCH(X402,Fact[[#All],[salestage.Sales Stage]],0)), "")</f>
        <v>4.5</v>
      </c>
    </row>
    <row r="404" spans="1:29" x14ac:dyDescent="0.3">
      <c r="A404" s="1">
        <v>42094.457638888889</v>
      </c>
      <c r="B404">
        <v>403</v>
      </c>
      <c r="C404">
        <v>1</v>
      </c>
      <c r="D404">
        <v>315</v>
      </c>
      <c r="E404">
        <v>86</v>
      </c>
      <c r="F404">
        <v>24</v>
      </c>
      <c r="G404">
        <v>5904717</v>
      </c>
      <c r="H404" s="5">
        <v>590472</v>
      </c>
      <c r="I404" s="1">
        <v>24</v>
      </c>
      <c r="J404">
        <v>400</v>
      </c>
      <c r="K404">
        <v>2015</v>
      </c>
      <c r="L404">
        <v>3</v>
      </c>
      <c r="M404" t="s">
        <v>512</v>
      </c>
      <c r="N404" t="s">
        <v>3</v>
      </c>
      <c r="O404" t="s">
        <v>857</v>
      </c>
      <c r="P404">
        <v>335</v>
      </c>
      <c r="Q404">
        <v>3</v>
      </c>
      <c r="R404" t="s">
        <v>9</v>
      </c>
      <c r="S404" t="s">
        <v>3</v>
      </c>
      <c r="T404" t="s">
        <v>193</v>
      </c>
      <c r="U404" t="s">
        <v>98</v>
      </c>
      <c r="V404" t="s">
        <v>72</v>
      </c>
      <c r="W404">
        <v>0.1</v>
      </c>
      <c r="X404" t="s">
        <v>195</v>
      </c>
      <c r="Y404" t="s">
        <v>464</v>
      </c>
      <c r="Z404" t="s">
        <v>13</v>
      </c>
      <c r="AA404" t="s">
        <v>6</v>
      </c>
      <c r="AB404">
        <f xml:space="preserve"> COUNTIF(Fact[[#This Row],[Partner.Partner Driven]], "Yes") / COUNTA(Fact[Opportunity ID])</f>
        <v>2.05761316872428E-3</v>
      </c>
      <c r="AC404">
        <f>IFERROR(INDEX(Fact[[#All],[Opportunity ID]],MATCH(X404,Fact[[#All],[salestage.Sales Stage]],0))/INDEX(Fact[[#All],[Opportunity ID]],MATCH(X403,Fact[[#All],[salestage.Sales Stage]],0)), "")</f>
        <v>0.22222222222222221</v>
      </c>
    </row>
    <row r="405" spans="1:29" x14ac:dyDescent="0.3">
      <c r="A405" s="1">
        <v>42185.457638888889</v>
      </c>
      <c r="B405">
        <v>404</v>
      </c>
      <c r="C405">
        <v>1</v>
      </c>
      <c r="D405">
        <v>170</v>
      </c>
      <c r="E405">
        <v>22</v>
      </c>
      <c r="F405">
        <v>11</v>
      </c>
      <c r="G405">
        <v>833461</v>
      </c>
      <c r="H405" s="5">
        <v>83346</v>
      </c>
      <c r="I405" s="1">
        <v>23</v>
      </c>
      <c r="J405">
        <v>464</v>
      </c>
      <c r="K405">
        <v>2015</v>
      </c>
      <c r="L405">
        <v>6</v>
      </c>
      <c r="M405" t="s">
        <v>70</v>
      </c>
      <c r="N405" t="s">
        <v>13</v>
      </c>
      <c r="O405" t="s">
        <v>858</v>
      </c>
      <c r="P405">
        <v>62</v>
      </c>
      <c r="Q405">
        <v>1</v>
      </c>
      <c r="R405" t="s">
        <v>138</v>
      </c>
      <c r="S405" t="s">
        <v>13</v>
      </c>
      <c r="T405" t="s">
        <v>180</v>
      </c>
      <c r="U405" t="s">
        <v>84</v>
      </c>
      <c r="V405" t="s">
        <v>85</v>
      </c>
      <c r="W405">
        <v>0.1</v>
      </c>
      <c r="X405" t="s">
        <v>195</v>
      </c>
      <c r="Y405" t="s">
        <v>321</v>
      </c>
      <c r="Z405" t="s">
        <v>13</v>
      </c>
      <c r="AA405" t="s">
        <v>9</v>
      </c>
      <c r="AB405">
        <f xml:space="preserve"> COUNTIF(Fact[[#This Row],[Partner.Partner Driven]], "Yes") / COUNTA(Fact[Opportunity ID])</f>
        <v>0</v>
      </c>
      <c r="AC405">
        <f>IFERROR(INDEX(Fact[[#All],[Opportunity ID]],MATCH(X405,Fact[[#All],[salestage.Sales Stage]],0))/INDEX(Fact[[#All],[Opportunity ID]],MATCH(X404,Fact[[#All],[salestage.Sales Stage]],0)), "")</f>
        <v>1</v>
      </c>
    </row>
    <row r="406" spans="1:29" x14ac:dyDescent="0.3">
      <c r="A406" s="1">
        <v>42185.457638888889</v>
      </c>
      <c r="B406">
        <v>405</v>
      </c>
      <c r="C406">
        <v>3</v>
      </c>
      <c r="D406">
        <v>316</v>
      </c>
      <c r="E406">
        <v>22</v>
      </c>
      <c r="F406">
        <v>9</v>
      </c>
      <c r="G406">
        <v>8286539</v>
      </c>
      <c r="H406" s="5">
        <v>3314616</v>
      </c>
      <c r="I406" s="1">
        <v>15</v>
      </c>
      <c r="J406">
        <v>441</v>
      </c>
      <c r="K406">
        <v>2015</v>
      </c>
      <c r="L406">
        <v>6</v>
      </c>
      <c r="M406" t="s">
        <v>70</v>
      </c>
      <c r="N406" t="s">
        <v>8</v>
      </c>
      <c r="O406" t="s">
        <v>859</v>
      </c>
      <c r="P406">
        <v>422</v>
      </c>
      <c r="Q406">
        <v>3</v>
      </c>
      <c r="R406" t="s">
        <v>9</v>
      </c>
      <c r="S406" t="s">
        <v>8</v>
      </c>
      <c r="T406" t="s">
        <v>178</v>
      </c>
      <c r="U406" t="s">
        <v>84</v>
      </c>
      <c r="V406" t="s">
        <v>85</v>
      </c>
      <c r="W406">
        <v>0.4</v>
      </c>
      <c r="X406" t="s">
        <v>197</v>
      </c>
      <c r="Y406" t="s">
        <v>465</v>
      </c>
      <c r="Z406" t="s">
        <v>13</v>
      </c>
      <c r="AA406" t="s">
        <v>4</v>
      </c>
      <c r="AB406">
        <f xml:space="preserve"> COUNTIF(Fact[[#This Row],[Partner.Partner Driven]], "Yes") / COUNTA(Fact[Opportunity ID])</f>
        <v>0</v>
      </c>
      <c r="AC406">
        <f>IFERROR(INDEX(Fact[[#All],[Opportunity ID]],MATCH(X406,Fact[[#All],[salestage.Sales Stage]],0))/INDEX(Fact[[#All],[Opportunity ID]],MATCH(X405,Fact[[#All],[salestage.Sales Stage]],0)), "")</f>
        <v>4.5</v>
      </c>
    </row>
    <row r="407" spans="1:29" x14ac:dyDescent="0.3">
      <c r="A407" s="1">
        <v>42369.457638888889</v>
      </c>
      <c r="B407">
        <v>406</v>
      </c>
      <c r="C407">
        <v>1</v>
      </c>
      <c r="D407">
        <v>317</v>
      </c>
      <c r="E407">
        <v>54</v>
      </c>
      <c r="F407">
        <v>17</v>
      </c>
      <c r="G407">
        <v>9192164</v>
      </c>
      <c r="H407" s="5">
        <v>919216</v>
      </c>
      <c r="I407" s="1">
        <v>10</v>
      </c>
      <c r="J407">
        <v>386</v>
      </c>
      <c r="K407">
        <v>2015</v>
      </c>
      <c r="L407">
        <v>12</v>
      </c>
      <c r="M407" t="s">
        <v>508</v>
      </c>
      <c r="N407" t="s">
        <v>8</v>
      </c>
      <c r="O407" t="s">
        <v>860</v>
      </c>
      <c r="P407">
        <v>445</v>
      </c>
      <c r="Q407">
        <v>3</v>
      </c>
      <c r="R407" t="s">
        <v>9</v>
      </c>
      <c r="S407" t="s">
        <v>8</v>
      </c>
      <c r="T407" t="s">
        <v>186</v>
      </c>
      <c r="U407" t="s">
        <v>514</v>
      </c>
      <c r="V407" t="s">
        <v>72</v>
      </c>
      <c r="W407">
        <v>0.1</v>
      </c>
      <c r="X407" t="s">
        <v>195</v>
      </c>
      <c r="Y407" t="s">
        <v>466</v>
      </c>
      <c r="Z407" t="s">
        <v>13</v>
      </c>
      <c r="AA407" t="s">
        <v>6</v>
      </c>
      <c r="AB407">
        <f xml:space="preserve"> COUNTIF(Fact[[#This Row],[Partner.Partner Driven]], "Yes") / COUNTA(Fact[Opportunity ID])</f>
        <v>2.05761316872428E-3</v>
      </c>
      <c r="AC407">
        <f>IFERROR(INDEX(Fact[[#All],[Opportunity ID]],MATCH(X407,Fact[[#All],[salestage.Sales Stage]],0))/INDEX(Fact[[#All],[Opportunity ID]],MATCH(X406,Fact[[#All],[salestage.Sales Stage]],0)), "")</f>
        <v>0.22222222222222221</v>
      </c>
    </row>
    <row r="408" spans="1:29" x14ac:dyDescent="0.3">
      <c r="A408" s="1">
        <v>42369.457638888889</v>
      </c>
      <c r="B408">
        <v>407</v>
      </c>
      <c r="C408">
        <v>1</v>
      </c>
      <c r="D408">
        <v>318</v>
      </c>
      <c r="E408">
        <v>22</v>
      </c>
      <c r="F408">
        <v>23</v>
      </c>
      <c r="G408">
        <v>495875</v>
      </c>
      <c r="H408" s="5">
        <v>49588</v>
      </c>
      <c r="I408" s="1">
        <v>9</v>
      </c>
      <c r="J408">
        <v>387</v>
      </c>
      <c r="K408">
        <v>2015</v>
      </c>
      <c r="L408">
        <v>12</v>
      </c>
      <c r="M408" t="s">
        <v>508</v>
      </c>
      <c r="N408" t="s">
        <v>3</v>
      </c>
      <c r="O408" t="s">
        <v>861</v>
      </c>
      <c r="P408">
        <v>41</v>
      </c>
      <c r="Q408">
        <v>1</v>
      </c>
      <c r="R408" t="s">
        <v>138</v>
      </c>
      <c r="S408" t="s">
        <v>3</v>
      </c>
      <c r="T408" t="s">
        <v>192</v>
      </c>
      <c r="U408" t="s">
        <v>84</v>
      </c>
      <c r="V408" t="s">
        <v>85</v>
      </c>
      <c r="W408">
        <v>0.1</v>
      </c>
      <c r="X408" t="s">
        <v>195</v>
      </c>
      <c r="Y408" t="s">
        <v>467</v>
      </c>
      <c r="Z408" t="s">
        <v>13</v>
      </c>
      <c r="AA408" t="s">
        <v>6</v>
      </c>
      <c r="AB408">
        <f xml:space="preserve"> COUNTIF(Fact[[#This Row],[Partner.Partner Driven]], "Yes") / COUNTA(Fact[Opportunity ID])</f>
        <v>0</v>
      </c>
      <c r="AC408">
        <f>IFERROR(INDEX(Fact[[#All],[Opportunity ID]],MATCH(X408,Fact[[#All],[salestage.Sales Stage]],0))/INDEX(Fact[[#All],[Opportunity ID]],MATCH(X407,Fact[[#All],[salestage.Sales Stage]],0)), "")</f>
        <v>1</v>
      </c>
    </row>
    <row r="409" spans="1:29" x14ac:dyDescent="0.3">
      <c r="A409" s="1">
        <v>42369.457638888889</v>
      </c>
      <c r="B409">
        <v>408</v>
      </c>
      <c r="C409">
        <v>1</v>
      </c>
      <c r="D409">
        <v>319</v>
      </c>
      <c r="E409">
        <v>22</v>
      </c>
      <c r="F409">
        <v>7</v>
      </c>
      <c r="G409">
        <v>4826813</v>
      </c>
      <c r="H409" s="5">
        <v>482681</v>
      </c>
      <c r="I409" s="1">
        <v>5</v>
      </c>
      <c r="J409">
        <v>725</v>
      </c>
      <c r="K409">
        <v>2015</v>
      </c>
      <c r="L409">
        <v>12</v>
      </c>
      <c r="M409" t="s">
        <v>508</v>
      </c>
      <c r="N409" t="s">
        <v>13</v>
      </c>
      <c r="O409" t="s">
        <v>862</v>
      </c>
      <c r="P409">
        <v>283</v>
      </c>
      <c r="Q409">
        <v>2</v>
      </c>
      <c r="R409" t="s">
        <v>143</v>
      </c>
      <c r="S409" t="s">
        <v>13</v>
      </c>
      <c r="T409" t="s">
        <v>176</v>
      </c>
      <c r="U409" t="s">
        <v>84</v>
      </c>
      <c r="V409" t="s">
        <v>85</v>
      </c>
      <c r="W409">
        <v>0.1</v>
      </c>
      <c r="X409" t="s">
        <v>195</v>
      </c>
      <c r="Y409" t="s">
        <v>468</v>
      </c>
      <c r="Z409" t="s">
        <v>13</v>
      </c>
      <c r="AA409" t="s">
        <v>6</v>
      </c>
      <c r="AB409">
        <f xml:space="preserve"> COUNTIF(Fact[[#This Row],[Partner.Partner Driven]], "Yes") / COUNTA(Fact[Opportunity ID])</f>
        <v>0</v>
      </c>
      <c r="AC409">
        <f>IFERROR(INDEX(Fact[[#All],[Opportunity ID]],MATCH(X409,Fact[[#All],[salestage.Sales Stage]],0))/INDEX(Fact[[#All],[Opportunity ID]],MATCH(X408,Fact[[#All],[salestage.Sales Stage]],0)), "")</f>
        <v>1</v>
      </c>
    </row>
    <row r="410" spans="1:29" x14ac:dyDescent="0.3">
      <c r="A410" s="1">
        <v>42369.457638888889</v>
      </c>
      <c r="B410">
        <v>409</v>
      </c>
      <c r="C410">
        <v>1</v>
      </c>
      <c r="D410">
        <v>320</v>
      </c>
      <c r="E410">
        <v>22</v>
      </c>
      <c r="F410">
        <v>5</v>
      </c>
      <c r="G410">
        <v>5007213</v>
      </c>
      <c r="H410" s="5">
        <v>500721</v>
      </c>
      <c r="I410" s="1">
        <v>26</v>
      </c>
      <c r="J410">
        <v>400</v>
      </c>
      <c r="K410">
        <v>2015</v>
      </c>
      <c r="L410">
        <v>12</v>
      </c>
      <c r="M410" t="s">
        <v>508</v>
      </c>
      <c r="N410" t="s">
        <v>3</v>
      </c>
      <c r="O410" t="s">
        <v>863</v>
      </c>
      <c r="P410">
        <v>295</v>
      </c>
      <c r="Q410">
        <v>2</v>
      </c>
      <c r="R410" t="s">
        <v>143</v>
      </c>
      <c r="S410" t="s">
        <v>3</v>
      </c>
      <c r="T410" t="s">
        <v>174</v>
      </c>
      <c r="U410" t="s">
        <v>84</v>
      </c>
      <c r="V410" t="s">
        <v>85</v>
      </c>
      <c r="W410">
        <v>0.1</v>
      </c>
      <c r="X410" t="s">
        <v>195</v>
      </c>
      <c r="Y410" t="s">
        <v>469</v>
      </c>
      <c r="Z410" t="s">
        <v>3</v>
      </c>
      <c r="AA410" t="s">
        <v>6</v>
      </c>
      <c r="AB410">
        <f xml:space="preserve"> COUNTIF(Fact[[#This Row],[Partner.Partner Driven]], "Yes") / COUNTA(Fact[Opportunity ID])</f>
        <v>0</v>
      </c>
      <c r="AC410">
        <f>IFERROR(INDEX(Fact[[#All],[Opportunity ID]],MATCH(X410,Fact[[#All],[salestage.Sales Stage]],0))/INDEX(Fact[[#All],[Opportunity ID]],MATCH(X409,Fact[[#All],[salestage.Sales Stage]],0)), "")</f>
        <v>1</v>
      </c>
    </row>
    <row r="411" spans="1:29" x14ac:dyDescent="0.3">
      <c r="A411" s="1">
        <v>42308.457638888889</v>
      </c>
      <c r="B411">
        <v>410</v>
      </c>
      <c r="C411">
        <v>1</v>
      </c>
      <c r="D411">
        <v>321</v>
      </c>
      <c r="E411">
        <v>87</v>
      </c>
      <c r="F411">
        <v>12</v>
      </c>
      <c r="G411">
        <v>11473089</v>
      </c>
      <c r="H411" s="5">
        <v>1147309</v>
      </c>
      <c r="I411" s="1">
        <v>12</v>
      </c>
      <c r="J411">
        <v>476</v>
      </c>
      <c r="K411">
        <v>2015</v>
      </c>
      <c r="L411">
        <v>10</v>
      </c>
      <c r="M411" t="s">
        <v>505</v>
      </c>
      <c r="N411" t="s">
        <v>3</v>
      </c>
      <c r="O411" t="s">
        <v>865</v>
      </c>
      <c r="P411">
        <v>479</v>
      </c>
      <c r="Q411">
        <v>3</v>
      </c>
      <c r="R411" t="s">
        <v>9</v>
      </c>
      <c r="S411" t="s">
        <v>3</v>
      </c>
      <c r="T411" t="s">
        <v>181</v>
      </c>
      <c r="U411" t="s">
        <v>96</v>
      </c>
      <c r="V411" t="s">
        <v>72</v>
      </c>
      <c r="W411">
        <v>0.1</v>
      </c>
      <c r="X411" t="s">
        <v>195</v>
      </c>
      <c r="Y411" t="s">
        <v>470</v>
      </c>
      <c r="Z411" t="s">
        <v>3</v>
      </c>
      <c r="AA411" t="s">
        <v>4</v>
      </c>
      <c r="AB411">
        <f xml:space="preserve"> COUNTIF(Fact[[#This Row],[Partner.Partner Driven]], "Yes") / COUNTA(Fact[Opportunity ID])</f>
        <v>2.05761316872428E-3</v>
      </c>
      <c r="AC411">
        <f>IFERROR(INDEX(Fact[[#All],[Opportunity ID]],MATCH(X411,Fact[[#All],[salestage.Sales Stage]],0))/INDEX(Fact[[#All],[Opportunity ID]],MATCH(X410,Fact[[#All],[salestage.Sales Stage]],0)), "")</f>
        <v>1</v>
      </c>
    </row>
    <row r="412" spans="1:29" x14ac:dyDescent="0.3">
      <c r="A412" s="1">
        <v>42338.457638888889</v>
      </c>
      <c r="B412">
        <v>411</v>
      </c>
      <c r="C412">
        <v>1</v>
      </c>
      <c r="D412">
        <v>110</v>
      </c>
      <c r="E412">
        <v>22</v>
      </c>
      <c r="F412">
        <v>2</v>
      </c>
      <c r="G412">
        <v>6949790</v>
      </c>
      <c r="H412" s="5">
        <v>694979</v>
      </c>
      <c r="I412" s="1">
        <v>11</v>
      </c>
      <c r="J412">
        <v>568</v>
      </c>
      <c r="K412">
        <v>2015</v>
      </c>
      <c r="L412">
        <v>11</v>
      </c>
      <c r="M412" t="s">
        <v>506</v>
      </c>
      <c r="N412" t="s">
        <v>3</v>
      </c>
      <c r="O412" t="s">
        <v>866</v>
      </c>
      <c r="P412">
        <v>382</v>
      </c>
      <c r="Q412">
        <v>3</v>
      </c>
      <c r="R412" t="s">
        <v>9</v>
      </c>
      <c r="S412" t="s">
        <v>3</v>
      </c>
      <c r="T412" t="s">
        <v>171</v>
      </c>
      <c r="U412" t="s">
        <v>84</v>
      </c>
      <c r="V412" t="s">
        <v>85</v>
      </c>
      <c r="W412">
        <v>0.1</v>
      </c>
      <c r="X412" t="s">
        <v>195</v>
      </c>
      <c r="Y412" t="s">
        <v>261</v>
      </c>
      <c r="Z412" t="s">
        <v>8</v>
      </c>
      <c r="AA412" t="s">
        <v>4</v>
      </c>
      <c r="AB412">
        <f xml:space="preserve"> COUNTIF(Fact[[#This Row],[Partner.Partner Driven]], "Yes") / COUNTA(Fact[Opportunity ID])</f>
        <v>0</v>
      </c>
      <c r="AC412">
        <f>IFERROR(INDEX(Fact[[#All],[Opportunity ID]],MATCH(X412,Fact[[#All],[salestage.Sales Stage]],0))/INDEX(Fact[[#All],[Opportunity ID]],MATCH(X411,Fact[[#All],[salestage.Sales Stage]],0)), "")</f>
        <v>1</v>
      </c>
    </row>
    <row r="413" spans="1:29" x14ac:dyDescent="0.3">
      <c r="A413" s="1">
        <v>42011.457638888889</v>
      </c>
      <c r="B413">
        <v>412</v>
      </c>
      <c r="C413">
        <v>4</v>
      </c>
      <c r="D413">
        <v>322</v>
      </c>
      <c r="E413">
        <v>87</v>
      </c>
      <c r="F413">
        <v>22</v>
      </c>
      <c r="G413">
        <v>3184707</v>
      </c>
      <c r="H413" s="5">
        <v>1910824</v>
      </c>
      <c r="I413" s="1">
        <v>3</v>
      </c>
      <c r="J413">
        <v>369</v>
      </c>
      <c r="K413">
        <v>2015</v>
      </c>
      <c r="L413">
        <v>1</v>
      </c>
      <c r="M413" t="s">
        <v>511</v>
      </c>
      <c r="N413" t="s">
        <v>3</v>
      </c>
      <c r="O413" t="s">
        <v>867</v>
      </c>
      <c r="P413">
        <v>194</v>
      </c>
      <c r="Q413">
        <v>2</v>
      </c>
      <c r="R413" t="s">
        <v>143</v>
      </c>
      <c r="S413" t="s">
        <v>3</v>
      </c>
      <c r="T413" t="s">
        <v>191</v>
      </c>
      <c r="U413" t="s">
        <v>96</v>
      </c>
      <c r="V413" t="s">
        <v>72</v>
      </c>
      <c r="W413">
        <v>0.6</v>
      </c>
      <c r="X413" t="s">
        <v>198</v>
      </c>
      <c r="Y413" t="s">
        <v>471</v>
      </c>
      <c r="Z413" t="s">
        <v>3</v>
      </c>
      <c r="AA413" t="s">
        <v>9</v>
      </c>
      <c r="AB413">
        <f xml:space="preserve"> COUNTIF(Fact[[#This Row],[Partner.Partner Driven]], "Yes") / COUNTA(Fact[Opportunity ID])</f>
        <v>2.05761316872428E-3</v>
      </c>
      <c r="AC413">
        <f>IFERROR(INDEX(Fact[[#All],[Opportunity ID]],MATCH(X413,Fact[[#All],[salestage.Sales Stage]],0))/INDEX(Fact[[#All],[Opportunity ID]],MATCH(X412,Fact[[#All],[salestage.Sales Stage]],0)), "")</f>
        <v>14</v>
      </c>
    </row>
    <row r="414" spans="1:29" x14ac:dyDescent="0.3">
      <c r="A414" s="1">
        <v>42185.457638888889</v>
      </c>
      <c r="B414">
        <v>413</v>
      </c>
      <c r="C414">
        <v>3</v>
      </c>
      <c r="D414">
        <v>220</v>
      </c>
      <c r="E414">
        <v>22</v>
      </c>
      <c r="F414">
        <v>8</v>
      </c>
      <c r="G414">
        <v>1286738</v>
      </c>
      <c r="H414" s="5">
        <v>514695</v>
      </c>
      <c r="I414" s="1">
        <v>6</v>
      </c>
      <c r="J414">
        <v>540</v>
      </c>
      <c r="K414">
        <v>2015</v>
      </c>
      <c r="L414">
        <v>6</v>
      </c>
      <c r="M414" t="s">
        <v>70</v>
      </c>
      <c r="N414" t="s">
        <v>3</v>
      </c>
      <c r="O414" t="s">
        <v>868</v>
      </c>
      <c r="P414">
        <v>86</v>
      </c>
      <c r="Q414">
        <v>1</v>
      </c>
      <c r="R414" t="s">
        <v>138</v>
      </c>
      <c r="S414" t="s">
        <v>3</v>
      </c>
      <c r="T414" t="s">
        <v>177</v>
      </c>
      <c r="U414" t="s">
        <v>84</v>
      </c>
      <c r="V414" t="s">
        <v>85</v>
      </c>
      <c r="W414">
        <v>0.4</v>
      </c>
      <c r="X414" t="s">
        <v>197</v>
      </c>
      <c r="Y414" t="s">
        <v>371</v>
      </c>
      <c r="Z414" t="s">
        <v>13</v>
      </c>
      <c r="AA414" t="s">
        <v>4</v>
      </c>
      <c r="AB414">
        <f xml:space="preserve"> COUNTIF(Fact[[#This Row],[Partner.Partner Driven]], "Yes") / COUNTA(Fact[Opportunity ID])</f>
        <v>0</v>
      </c>
      <c r="AC414">
        <f>IFERROR(INDEX(Fact[[#All],[Opportunity ID]],MATCH(X414,Fact[[#All],[salestage.Sales Stage]],0))/INDEX(Fact[[#All],[Opportunity ID]],MATCH(X413,Fact[[#All],[salestage.Sales Stage]],0)), "")</f>
        <v>0.32142857142857145</v>
      </c>
    </row>
    <row r="415" spans="1:29" x14ac:dyDescent="0.3">
      <c r="A415" s="1">
        <v>42185.457638888889</v>
      </c>
      <c r="B415">
        <v>414</v>
      </c>
      <c r="C415">
        <v>1</v>
      </c>
      <c r="D415">
        <v>323</v>
      </c>
      <c r="E415">
        <v>22</v>
      </c>
      <c r="F415">
        <v>23</v>
      </c>
      <c r="G415">
        <v>5299231</v>
      </c>
      <c r="H415" s="5">
        <v>529923</v>
      </c>
      <c r="I415" s="1">
        <v>25</v>
      </c>
      <c r="J415">
        <v>431</v>
      </c>
      <c r="K415">
        <v>2015</v>
      </c>
      <c r="L415">
        <v>6</v>
      </c>
      <c r="M415" t="s">
        <v>70</v>
      </c>
      <c r="N415" t="s">
        <v>13</v>
      </c>
      <c r="O415" t="s">
        <v>869</v>
      </c>
      <c r="P415">
        <v>311</v>
      </c>
      <c r="Q415">
        <v>2</v>
      </c>
      <c r="R415" t="s">
        <v>143</v>
      </c>
      <c r="S415" t="s">
        <v>13</v>
      </c>
      <c r="T415" t="s">
        <v>192</v>
      </c>
      <c r="U415" t="s">
        <v>84</v>
      </c>
      <c r="V415" t="s">
        <v>85</v>
      </c>
      <c r="W415">
        <v>0.1</v>
      </c>
      <c r="X415" t="s">
        <v>195</v>
      </c>
      <c r="Y415" t="s">
        <v>472</v>
      </c>
      <c r="Z415" t="s">
        <v>8</v>
      </c>
      <c r="AA415" t="s">
        <v>9</v>
      </c>
      <c r="AB415">
        <f xml:space="preserve"> COUNTIF(Fact[[#This Row],[Partner.Partner Driven]], "Yes") / COUNTA(Fact[Opportunity ID])</f>
        <v>0</v>
      </c>
      <c r="AC415">
        <f>IFERROR(INDEX(Fact[[#All],[Opportunity ID]],MATCH(X415,Fact[[#All],[salestage.Sales Stage]],0))/INDEX(Fact[[#All],[Opportunity ID]],MATCH(X414,Fact[[#All],[salestage.Sales Stage]],0)), "")</f>
        <v>0.22222222222222221</v>
      </c>
    </row>
    <row r="416" spans="1:29" x14ac:dyDescent="0.3">
      <c r="A416" s="1">
        <v>42338.457638888889</v>
      </c>
      <c r="B416">
        <v>415</v>
      </c>
      <c r="C416">
        <v>1</v>
      </c>
      <c r="D416">
        <v>324</v>
      </c>
      <c r="E416">
        <v>22</v>
      </c>
      <c r="F416">
        <v>18</v>
      </c>
      <c r="G416">
        <v>648356</v>
      </c>
      <c r="H416" s="5">
        <v>64836</v>
      </c>
      <c r="I416" s="1">
        <v>29</v>
      </c>
      <c r="J416">
        <v>519</v>
      </c>
      <c r="K416">
        <v>2015</v>
      </c>
      <c r="L416">
        <v>11</v>
      </c>
      <c r="M416" t="s">
        <v>506</v>
      </c>
      <c r="N416" t="s">
        <v>3</v>
      </c>
      <c r="O416" t="s">
        <v>870</v>
      </c>
      <c r="P416">
        <v>50</v>
      </c>
      <c r="Q416">
        <v>1</v>
      </c>
      <c r="R416" t="s">
        <v>138</v>
      </c>
      <c r="S416" t="s">
        <v>3</v>
      </c>
      <c r="T416" t="s">
        <v>187</v>
      </c>
      <c r="U416" t="s">
        <v>84</v>
      </c>
      <c r="V416" t="s">
        <v>85</v>
      </c>
      <c r="W416">
        <v>0.1</v>
      </c>
      <c r="X416" t="s">
        <v>195</v>
      </c>
      <c r="Y416" t="s">
        <v>473</v>
      </c>
      <c r="Z416" t="s">
        <v>3</v>
      </c>
      <c r="AA416" t="s">
        <v>4</v>
      </c>
      <c r="AB416">
        <f xml:space="preserve"> COUNTIF(Fact[[#This Row],[Partner.Partner Driven]], "Yes") / COUNTA(Fact[Opportunity ID])</f>
        <v>0</v>
      </c>
      <c r="AC416">
        <f>IFERROR(INDEX(Fact[[#All],[Opportunity ID]],MATCH(X416,Fact[[#All],[salestage.Sales Stage]],0))/INDEX(Fact[[#All],[Opportunity ID]],MATCH(X415,Fact[[#All],[salestage.Sales Stage]],0)), "")</f>
        <v>1</v>
      </c>
    </row>
    <row r="417" spans="1:29" x14ac:dyDescent="0.3">
      <c r="A417" s="1">
        <v>42139.457638888889</v>
      </c>
      <c r="B417">
        <v>416</v>
      </c>
      <c r="C417">
        <v>1</v>
      </c>
      <c r="D417">
        <v>325</v>
      </c>
      <c r="E417">
        <v>87</v>
      </c>
      <c r="F417">
        <v>2</v>
      </c>
      <c r="G417">
        <v>4254833</v>
      </c>
      <c r="H417" s="5">
        <v>425483</v>
      </c>
      <c r="I417" s="1">
        <v>9</v>
      </c>
      <c r="J417">
        <v>371</v>
      </c>
      <c r="K417">
        <v>2015</v>
      </c>
      <c r="L417">
        <v>5</v>
      </c>
      <c r="M417" t="s">
        <v>68</v>
      </c>
      <c r="N417" t="s">
        <v>3</v>
      </c>
      <c r="O417" t="s">
        <v>871</v>
      </c>
      <c r="P417">
        <v>258</v>
      </c>
      <c r="Q417">
        <v>2</v>
      </c>
      <c r="R417" t="s">
        <v>143</v>
      </c>
      <c r="S417" t="s">
        <v>3</v>
      </c>
      <c r="T417" t="s">
        <v>171</v>
      </c>
      <c r="U417" t="s">
        <v>96</v>
      </c>
      <c r="V417" t="s">
        <v>72</v>
      </c>
      <c r="W417">
        <v>0.1</v>
      </c>
      <c r="X417" t="s">
        <v>195</v>
      </c>
      <c r="Y417" t="s">
        <v>474</v>
      </c>
      <c r="Z417" t="s">
        <v>3</v>
      </c>
      <c r="AA417" t="s">
        <v>4</v>
      </c>
      <c r="AB417">
        <f xml:space="preserve"> COUNTIF(Fact[[#This Row],[Partner.Partner Driven]], "Yes") / COUNTA(Fact[Opportunity ID])</f>
        <v>2.05761316872428E-3</v>
      </c>
      <c r="AC417">
        <f>IFERROR(INDEX(Fact[[#All],[Opportunity ID]],MATCH(X417,Fact[[#All],[salestage.Sales Stage]],0))/INDEX(Fact[[#All],[Opportunity ID]],MATCH(X416,Fact[[#All],[salestage.Sales Stage]],0)), "")</f>
        <v>1</v>
      </c>
    </row>
    <row r="418" spans="1:29" x14ac:dyDescent="0.3">
      <c r="A418" s="1">
        <v>42174.457638888889</v>
      </c>
      <c r="B418">
        <v>417</v>
      </c>
      <c r="C418">
        <v>1</v>
      </c>
      <c r="D418">
        <v>326</v>
      </c>
      <c r="E418">
        <v>22</v>
      </c>
      <c r="F418">
        <v>13</v>
      </c>
      <c r="G418">
        <v>931923</v>
      </c>
      <c r="H418" s="5">
        <v>93192</v>
      </c>
      <c r="I418" s="1">
        <v>3</v>
      </c>
      <c r="J418">
        <v>473</v>
      </c>
      <c r="K418">
        <v>2015</v>
      </c>
      <c r="L418">
        <v>6</v>
      </c>
      <c r="M418" t="s">
        <v>70</v>
      </c>
      <c r="N418" t="s">
        <v>13</v>
      </c>
      <c r="O418" t="s">
        <v>872</v>
      </c>
      <c r="P418">
        <v>67</v>
      </c>
      <c r="Q418">
        <v>1</v>
      </c>
      <c r="R418" t="s">
        <v>138</v>
      </c>
      <c r="S418" t="s">
        <v>13</v>
      </c>
      <c r="T418" t="s">
        <v>182</v>
      </c>
      <c r="U418" t="s">
        <v>84</v>
      </c>
      <c r="V418" t="s">
        <v>85</v>
      </c>
      <c r="W418">
        <v>0.1</v>
      </c>
      <c r="X418" t="s">
        <v>195</v>
      </c>
      <c r="Y418" t="s">
        <v>475</v>
      </c>
      <c r="Z418" t="s">
        <v>13</v>
      </c>
      <c r="AA418" t="s">
        <v>9</v>
      </c>
      <c r="AB418">
        <f xml:space="preserve"> COUNTIF(Fact[[#This Row],[Partner.Partner Driven]], "Yes") / COUNTA(Fact[Opportunity ID])</f>
        <v>0</v>
      </c>
      <c r="AC418">
        <f>IFERROR(INDEX(Fact[[#All],[Opportunity ID]],MATCH(X418,Fact[[#All],[salestage.Sales Stage]],0))/INDEX(Fact[[#All],[Opportunity ID]],MATCH(X417,Fact[[#All],[salestage.Sales Stage]],0)), "")</f>
        <v>1</v>
      </c>
    </row>
    <row r="419" spans="1:29" x14ac:dyDescent="0.3">
      <c r="A419" s="1">
        <v>42185.457638888889</v>
      </c>
      <c r="B419">
        <v>418</v>
      </c>
      <c r="C419">
        <v>1</v>
      </c>
      <c r="D419">
        <v>11</v>
      </c>
      <c r="E419">
        <v>22</v>
      </c>
      <c r="F419">
        <v>17</v>
      </c>
      <c r="G419">
        <v>1133172</v>
      </c>
      <c r="H419" s="5">
        <v>113317</v>
      </c>
      <c r="I419" s="1">
        <v>16</v>
      </c>
      <c r="J419">
        <v>410</v>
      </c>
      <c r="K419">
        <v>2015</v>
      </c>
      <c r="L419">
        <v>6</v>
      </c>
      <c r="M419" t="s">
        <v>70</v>
      </c>
      <c r="N419" t="s">
        <v>13</v>
      </c>
      <c r="O419" t="s">
        <v>873</v>
      </c>
      <c r="P419">
        <v>79</v>
      </c>
      <c r="Q419">
        <v>1</v>
      </c>
      <c r="R419" t="s">
        <v>138</v>
      </c>
      <c r="S419" t="s">
        <v>13</v>
      </c>
      <c r="T419" t="s">
        <v>186</v>
      </c>
      <c r="U419" t="s">
        <v>84</v>
      </c>
      <c r="V419" t="s">
        <v>85</v>
      </c>
      <c r="W419">
        <v>0.1</v>
      </c>
      <c r="X419" t="s">
        <v>195</v>
      </c>
      <c r="Y419" t="s">
        <v>18</v>
      </c>
      <c r="Z419" t="s">
        <v>13</v>
      </c>
      <c r="AA419" t="s">
        <v>4</v>
      </c>
      <c r="AB419">
        <f xml:space="preserve"> COUNTIF(Fact[[#This Row],[Partner.Partner Driven]], "Yes") / COUNTA(Fact[Opportunity ID])</f>
        <v>0</v>
      </c>
      <c r="AC419">
        <f>IFERROR(INDEX(Fact[[#All],[Opportunity ID]],MATCH(X419,Fact[[#All],[salestage.Sales Stage]],0))/INDEX(Fact[[#All],[Opportunity ID]],MATCH(X418,Fact[[#All],[salestage.Sales Stage]],0)), "")</f>
        <v>1</v>
      </c>
    </row>
    <row r="420" spans="1:29" x14ac:dyDescent="0.3">
      <c r="A420" s="1">
        <v>42369.457638888889</v>
      </c>
      <c r="B420">
        <v>419</v>
      </c>
      <c r="C420">
        <v>1</v>
      </c>
      <c r="D420">
        <v>327</v>
      </c>
      <c r="E420">
        <v>88</v>
      </c>
      <c r="F420">
        <v>3</v>
      </c>
      <c r="G420">
        <v>397544</v>
      </c>
      <c r="H420" s="5">
        <v>39754</v>
      </c>
      <c r="I420" s="1">
        <v>7</v>
      </c>
      <c r="J420">
        <v>692</v>
      </c>
      <c r="K420">
        <v>2015</v>
      </c>
      <c r="L420">
        <v>12</v>
      </c>
      <c r="M420" t="s">
        <v>508</v>
      </c>
      <c r="N420" t="s">
        <v>13</v>
      </c>
      <c r="O420" t="s">
        <v>874</v>
      </c>
      <c r="P420">
        <v>36</v>
      </c>
      <c r="Q420">
        <v>1</v>
      </c>
      <c r="R420" t="s">
        <v>138</v>
      </c>
      <c r="S420" t="s">
        <v>13</v>
      </c>
      <c r="T420" t="s">
        <v>172</v>
      </c>
      <c r="U420" t="s">
        <v>542</v>
      </c>
      <c r="V420" t="s">
        <v>72</v>
      </c>
      <c r="W420">
        <v>0.1</v>
      </c>
      <c r="X420" t="s">
        <v>195</v>
      </c>
      <c r="Y420" t="s">
        <v>476</v>
      </c>
      <c r="Z420" t="s">
        <v>3</v>
      </c>
      <c r="AA420" t="s">
        <v>6</v>
      </c>
      <c r="AB420">
        <f xml:space="preserve"> COUNTIF(Fact[[#This Row],[Partner.Partner Driven]], "Yes") / COUNTA(Fact[Opportunity ID])</f>
        <v>2.05761316872428E-3</v>
      </c>
      <c r="AC420">
        <f>IFERROR(INDEX(Fact[[#All],[Opportunity ID]],MATCH(X420,Fact[[#All],[salestage.Sales Stage]],0))/INDEX(Fact[[#All],[Opportunity ID]],MATCH(X419,Fact[[#All],[salestage.Sales Stage]],0)), "")</f>
        <v>1</v>
      </c>
    </row>
    <row r="421" spans="1:29" x14ac:dyDescent="0.3">
      <c r="A421" s="1">
        <v>42153.457638888889</v>
      </c>
      <c r="B421">
        <v>420</v>
      </c>
      <c r="C421">
        <v>1</v>
      </c>
      <c r="D421">
        <v>328</v>
      </c>
      <c r="E421">
        <v>22</v>
      </c>
      <c r="F421">
        <v>18</v>
      </c>
      <c r="G421">
        <v>4087361</v>
      </c>
      <c r="H421" s="5">
        <v>408736</v>
      </c>
      <c r="I421" s="1">
        <v>8</v>
      </c>
      <c r="J421">
        <v>416</v>
      </c>
      <c r="K421">
        <v>2015</v>
      </c>
      <c r="L421">
        <v>5</v>
      </c>
      <c r="M421" t="s">
        <v>68</v>
      </c>
      <c r="N421" t="s">
        <v>1021</v>
      </c>
      <c r="O421" t="s">
        <v>876</v>
      </c>
      <c r="P421">
        <v>250</v>
      </c>
      <c r="Q421">
        <v>2</v>
      </c>
      <c r="R421" t="s">
        <v>143</v>
      </c>
      <c r="S421" t="s">
        <v>8</v>
      </c>
      <c r="T421" t="s">
        <v>187</v>
      </c>
      <c r="U421" t="s">
        <v>84</v>
      </c>
      <c r="V421" t="s">
        <v>85</v>
      </c>
      <c r="W421">
        <v>0.1</v>
      </c>
      <c r="X421" t="s">
        <v>195</v>
      </c>
      <c r="Y421" t="s">
        <v>477</v>
      </c>
      <c r="Z421" t="s">
        <v>8</v>
      </c>
      <c r="AA421" t="s">
        <v>9</v>
      </c>
      <c r="AB421">
        <f xml:space="preserve"> COUNTIF(Fact[[#This Row],[Partner.Partner Driven]], "Yes") / COUNTA(Fact[Opportunity ID])</f>
        <v>0</v>
      </c>
      <c r="AC421">
        <f>IFERROR(INDEX(Fact[[#All],[Opportunity ID]],MATCH(X421,Fact[[#All],[salestage.Sales Stage]],0))/INDEX(Fact[[#All],[Opportunity ID]],MATCH(X420,Fact[[#All],[salestage.Sales Stage]],0)), "")</f>
        <v>1</v>
      </c>
    </row>
    <row r="422" spans="1:29" x14ac:dyDescent="0.3">
      <c r="A422" s="1">
        <v>42094.457638888889</v>
      </c>
      <c r="B422">
        <v>421</v>
      </c>
      <c r="C422">
        <v>4</v>
      </c>
      <c r="D422">
        <v>42</v>
      </c>
      <c r="E422">
        <v>22</v>
      </c>
      <c r="F422">
        <v>20</v>
      </c>
      <c r="G422">
        <v>2317660</v>
      </c>
      <c r="H422" s="5">
        <v>1390596</v>
      </c>
      <c r="I422" s="1">
        <v>23</v>
      </c>
      <c r="J422">
        <v>432</v>
      </c>
      <c r="K422">
        <v>2015</v>
      </c>
      <c r="L422">
        <v>3</v>
      </c>
      <c r="M422" t="s">
        <v>512</v>
      </c>
      <c r="N422" t="s">
        <v>13</v>
      </c>
      <c r="O422" t="s">
        <v>877</v>
      </c>
      <c r="P422">
        <v>154</v>
      </c>
      <c r="Q422">
        <v>1</v>
      </c>
      <c r="R422" t="s">
        <v>138</v>
      </c>
      <c r="S422" t="s">
        <v>13</v>
      </c>
      <c r="T422" t="s">
        <v>189</v>
      </c>
      <c r="U422" t="s">
        <v>84</v>
      </c>
      <c r="V422" t="s">
        <v>85</v>
      </c>
      <c r="W422">
        <v>0.6</v>
      </c>
      <c r="X422" t="s">
        <v>198</v>
      </c>
      <c r="Y422" t="s">
        <v>49</v>
      </c>
      <c r="Z422" t="s">
        <v>13</v>
      </c>
      <c r="AA422" t="s">
        <v>4</v>
      </c>
      <c r="AB422">
        <f xml:space="preserve"> COUNTIF(Fact[[#This Row],[Partner.Partner Driven]], "Yes") / COUNTA(Fact[Opportunity ID])</f>
        <v>0</v>
      </c>
      <c r="AC422">
        <f>IFERROR(INDEX(Fact[[#All],[Opportunity ID]],MATCH(X422,Fact[[#All],[salestage.Sales Stage]],0))/INDEX(Fact[[#All],[Opportunity ID]],MATCH(X421,Fact[[#All],[salestage.Sales Stage]],0)), "")</f>
        <v>14</v>
      </c>
    </row>
    <row r="423" spans="1:29" x14ac:dyDescent="0.3">
      <c r="A423" s="1">
        <v>42090.457638888889</v>
      </c>
      <c r="B423">
        <v>422</v>
      </c>
      <c r="C423">
        <v>3</v>
      </c>
      <c r="D423">
        <v>100</v>
      </c>
      <c r="E423">
        <v>22</v>
      </c>
      <c r="F423">
        <v>23</v>
      </c>
      <c r="G423">
        <v>4654747</v>
      </c>
      <c r="H423" s="5">
        <v>1861899</v>
      </c>
      <c r="I423" s="1">
        <v>5</v>
      </c>
      <c r="J423">
        <v>415</v>
      </c>
      <c r="K423">
        <v>2015</v>
      </c>
      <c r="L423">
        <v>3</v>
      </c>
      <c r="M423" t="s">
        <v>512</v>
      </c>
      <c r="N423" t="s">
        <v>8</v>
      </c>
      <c r="O423" t="s">
        <v>878</v>
      </c>
      <c r="P423">
        <v>275</v>
      </c>
      <c r="Q423">
        <v>2</v>
      </c>
      <c r="R423" t="s">
        <v>143</v>
      </c>
      <c r="S423" t="s">
        <v>8</v>
      </c>
      <c r="T423" t="s">
        <v>192</v>
      </c>
      <c r="U423" t="s">
        <v>84</v>
      </c>
      <c r="V423" t="s">
        <v>85</v>
      </c>
      <c r="W423">
        <v>0.4</v>
      </c>
      <c r="X423" t="s">
        <v>197</v>
      </c>
      <c r="Y423" t="s">
        <v>251</v>
      </c>
      <c r="Z423" t="s">
        <v>3</v>
      </c>
      <c r="AA423" t="s">
        <v>4</v>
      </c>
      <c r="AB423">
        <f xml:space="preserve"> COUNTIF(Fact[[#This Row],[Partner.Partner Driven]], "Yes") / COUNTA(Fact[Opportunity ID])</f>
        <v>0</v>
      </c>
      <c r="AC423">
        <f>IFERROR(INDEX(Fact[[#All],[Opportunity ID]],MATCH(X423,Fact[[#All],[salestage.Sales Stage]],0))/INDEX(Fact[[#All],[Opportunity ID]],MATCH(X422,Fact[[#All],[salestage.Sales Stage]],0)), "")</f>
        <v>0.32142857142857145</v>
      </c>
    </row>
    <row r="424" spans="1:29" x14ac:dyDescent="0.3">
      <c r="A424" s="1">
        <v>42090.457638888889</v>
      </c>
      <c r="B424">
        <v>423</v>
      </c>
      <c r="C424">
        <v>3</v>
      </c>
      <c r="D424">
        <v>69</v>
      </c>
      <c r="E424">
        <v>22</v>
      </c>
      <c r="F424">
        <v>19</v>
      </c>
      <c r="G424">
        <v>2172080</v>
      </c>
      <c r="H424" s="5">
        <v>868832</v>
      </c>
      <c r="I424" s="1">
        <v>25</v>
      </c>
      <c r="J424">
        <v>367</v>
      </c>
      <c r="K424">
        <v>2015</v>
      </c>
      <c r="L424">
        <v>3</v>
      </c>
      <c r="M424" t="s">
        <v>512</v>
      </c>
      <c r="N424" t="s">
        <v>13</v>
      </c>
      <c r="O424" t="s">
        <v>879</v>
      </c>
      <c r="P424">
        <v>144</v>
      </c>
      <c r="Q424">
        <v>1</v>
      </c>
      <c r="R424" t="s">
        <v>138</v>
      </c>
      <c r="S424" t="s">
        <v>13</v>
      </c>
      <c r="T424" t="s">
        <v>188</v>
      </c>
      <c r="U424" t="s">
        <v>84</v>
      </c>
      <c r="V424" t="s">
        <v>85</v>
      </c>
      <c r="W424">
        <v>0.4</v>
      </c>
      <c r="X424" t="s">
        <v>197</v>
      </c>
      <c r="Y424" t="s">
        <v>220</v>
      </c>
      <c r="Z424" t="s">
        <v>3</v>
      </c>
      <c r="AA424" t="s">
        <v>4</v>
      </c>
      <c r="AB424">
        <f xml:space="preserve"> COUNTIF(Fact[[#This Row],[Partner.Partner Driven]], "Yes") / COUNTA(Fact[Opportunity ID])</f>
        <v>0</v>
      </c>
      <c r="AC424">
        <f>IFERROR(INDEX(Fact[[#All],[Opportunity ID]],MATCH(X424,Fact[[#All],[salestage.Sales Stage]],0))/INDEX(Fact[[#All],[Opportunity ID]],MATCH(X423,Fact[[#All],[salestage.Sales Stage]],0)), "")</f>
        <v>1</v>
      </c>
    </row>
    <row r="425" spans="1:29" x14ac:dyDescent="0.3">
      <c r="A425" s="1">
        <v>42137.457638888889</v>
      </c>
      <c r="B425">
        <v>424</v>
      </c>
      <c r="C425">
        <v>1</v>
      </c>
      <c r="D425">
        <v>26</v>
      </c>
      <c r="E425">
        <v>22</v>
      </c>
      <c r="F425">
        <v>3</v>
      </c>
      <c r="G425">
        <v>4226438</v>
      </c>
      <c r="H425" s="5">
        <v>422644</v>
      </c>
      <c r="I425" s="1">
        <v>10</v>
      </c>
      <c r="J425">
        <v>488</v>
      </c>
      <c r="K425">
        <v>2015</v>
      </c>
      <c r="L425">
        <v>5</v>
      </c>
      <c r="M425" t="s">
        <v>68</v>
      </c>
      <c r="N425" t="s">
        <v>13</v>
      </c>
      <c r="O425" t="s">
        <v>880</v>
      </c>
      <c r="P425">
        <v>256</v>
      </c>
      <c r="Q425">
        <v>2</v>
      </c>
      <c r="R425" t="s">
        <v>143</v>
      </c>
      <c r="S425" t="s">
        <v>13</v>
      </c>
      <c r="T425" t="s">
        <v>172</v>
      </c>
      <c r="U425" t="s">
        <v>84</v>
      </c>
      <c r="V425" t="s">
        <v>85</v>
      </c>
      <c r="W425">
        <v>0.1</v>
      </c>
      <c r="X425" t="s">
        <v>195</v>
      </c>
      <c r="Y425" t="s">
        <v>33</v>
      </c>
      <c r="Z425" t="s">
        <v>3</v>
      </c>
      <c r="AA425" t="s">
        <v>4</v>
      </c>
      <c r="AB425">
        <f xml:space="preserve"> COUNTIF(Fact[[#This Row],[Partner.Partner Driven]], "Yes") / COUNTA(Fact[Opportunity ID])</f>
        <v>0</v>
      </c>
      <c r="AC425">
        <f>IFERROR(INDEX(Fact[[#All],[Opportunity ID]],MATCH(X425,Fact[[#All],[salestage.Sales Stage]],0))/INDEX(Fact[[#All],[Opportunity ID]],MATCH(X424,Fact[[#All],[salestage.Sales Stage]],0)), "")</f>
        <v>0.22222222222222221</v>
      </c>
    </row>
    <row r="426" spans="1:29" x14ac:dyDescent="0.3">
      <c r="A426" s="1">
        <v>42181.457638888889</v>
      </c>
      <c r="B426">
        <v>425</v>
      </c>
      <c r="C426">
        <v>1</v>
      </c>
      <c r="D426">
        <v>52</v>
      </c>
      <c r="E426">
        <v>22</v>
      </c>
      <c r="F426">
        <v>9</v>
      </c>
      <c r="G426">
        <v>1959131</v>
      </c>
      <c r="H426" s="5">
        <v>195913</v>
      </c>
      <c r="I426" s="1">
        <v>22</v>
      </c>
      <c r="J426">
        <v>369</v>
      </c>
      <c r="K426">
        <v>2015</v>
      </c>
      <c r="L426">
        <v>6</v>
      </c>
      <c r="M426" t="s">
        <v>70</v>
      </c>
      <c r="N426" t="s">
        <v>13</v>
      </c>
      <c r="O426" t="s">
        <v>881</v>
      </c>
      <c r="P426">
        <v>133</v>
      </c>
      <c r="Q426">
        <v>1</v>
      </c>
      <c r="R426" t="s">
        <v>138</v>
      </c>
      <c r="S426" t="s">
        <v>13</v>
      </c>
      <c r="T426" t="s">
        <v>178</v>
      </c>
      <c r="U426" t="s">
        <v>84</v>
      </c>
      <c r="V426" t="s">
        <v>85</v>
      </c>
      <c r="W426">
        <v>0.1</v>
      </c>
      <c r="X426" t="s">
        <v>195</v>
      </c>
      <c r="Y426" t="s">
        <v>203</v>
      </c>
      <c r="Z426" t="s">
        <v>3</v>
      </c>
      <c r="AA426" t="s">
        <v>4</v>
      </c>
      <c r="AB426">
        <f xml:space="preserve"> COUNTIF(Fact[[#This Row],[Partner.Partner Driven]], "Yes") / COUNTA(Fact[Opportunity ID])</f>
        <v>0</v>
      </c>
      <c r="AC426">
        <f>IFERROR(INDEX(Fact[[#All],[Opportunity ID]],MATCH(X426,Fact[[#All],[salestage.Sales Stage]],0))/INDEX(Fact[[#All],[Opportunity ID]],MATCH(X425,Fact[[#All],[salestage.Sales Stage]],0)), "")</f>
        <v>1</v>
      </c>
    </row>
    <row r="427" spans="1:29" x14ac:dyDescent="0.3">
      <c r="A427" s="1">
        <v>42156.796261574076</v>
      </c>
      <c r="B427">
        <v>426</v>
      </c>
      <c r="C427">
        <v>2</v>
      </c>
      <c r="D427">
        <v>52</v>
      </c>
      <c r="E427">
        <v>89</v>
      </c>
      <c r="F427">
        <v>9</v>
      </c>
      <c r="G427">
        <v>3107233</v>
      </c>
      <c r="H427" s="5">
        <v>621447</v>
      </c>
      <c r="I427" s="1">
        <v>1</v>
      </c>
      <c r="J427">
        <v>458</v>
      </c>
      <c r="K427">
        <v>2015</v>
      </c>
      <c r="L427">
        <v>6</v>
      </c>
      <c r="M427" t="s">
        <v>70</v>
      </c>
      <c r="N427" t="s">
        <v>13</v>
      </c>
      <c r="O427" t="s">
        <v>882</v>
      </c>
      <c r="P427">
        <v>188</v>
      </c>
      <c r="Q427">
        <v>2</v>
      </c>
      <c r="R427" t="s">
        <v>143</v>
      </c>
      <c r="S427" t="s">
        <v>13</v>
      </c>
      <c r="T427" t="s">
        <v>178</v>
      </c>
      <c r="U427" t="s">
        <v>86</v>
      </c>
      <c r="V427" t="s">
        <v>72</v>
      </c>
      <c r="W427">
        <v>0.2</v>
      </c>
      <c r="X427" t="s">
        <v>196</v>
      </c>
      <c r="Y427" t="s">
        <v>203</v>
      </c>
      <c r="Z427" t="s">
        <v>3</v>
      </c>
      <c r="AA427" t="s">
        <v>4</v>
      </c>
      <c r="AB427">
        <f xml:space="preserve"> COUNTIF(Fact[[#This Row],[Partner.Partner Driven]], "Yes") / COUNTA(Fact[Opportunity ID])</f>
        <v>2.05761316872428E-3</v>
      </c>
      <c r="AC427">
        <f>IFERROR(INDEX(Fact[[#All],[Opportunity ID]],MATCH(X427,Fact[[#All],[salestage.Sales Stage]],0))/INDEX(Fact[[#All],[Opportunity ID]],MATCH(X426,Fact[[#All],[salestage.Sales Stage]],0)), "")</f>
        <v>0.5</v>
      </c>
    </row>
    <row r="428" spans="1:29" x14ac:dyDescent="0.3">
      <c r="A428" s="1">
        <v>42146.457638888889</v>
      </c>
      <c r="B428">
        <v>427</v>
      </c>
      <c r="C428">
        <v>1</v>
      </c>
      <c r="D428">
        <v>238</v>
      </c>
      <c r="E428">
        <v>22</v>
      </c>
      <c r="F428">
        <v>12</v>
      </c>
      <c r="G428">
        <v>3152735</v>
      </c>
      <c r="H428" s="5">
        <v>315274</v>
      </c>
      <c r="I428" s="1">
        <v>22</v>
      </c>
      <c r="J428">
        <v>395</v>
      </c>
      <c r="K428">
        <v>2015</v>
      </c>
      <c r="L428">
        <v>5</v>
      </c>
      <c r="M428" t="s">
        <v>68</v>
      </c>
      <c r="N428" t="s">
        <v>13</v>
      </c>
      <c r="O428" t="s">
        <v>883</v>
      </c>
      <c r="P428">
        <v>191</v>
      </c>
      <c r="Q428">
        <v>2</v>
      </c>
      <c r="R428" t="s">
        <v>143</v>
      </c>
      <c r="S428" t="s">
        <v>13</v>
      </c>
      <c r="T428" t="s">
        <v>181</v>
      </c>
      <c r="U428" t="s">
        <v>84</v>
      </c>
      <c r="V428" t="s">
        <v>85</v>
      </c>
      <c r="W428">
        <v>0.1</v>
      </c>
      <c r="X428" t="s">
        <v>195</v>
      </c>
      <c r="Y428" t="s">
        <v>389</v>
      </c>
      <c r="Z428" t="s">
        <v>3</v>
      </c>
      <c r="AA428" t="s">
        <v>4</v>
      </c>
      <c r="AB428">
        <f xml:space="preserve"> COUNTIF(Fact[[#This Row],[Partner.Partner Driven]], "Yes") / COUNTA(Fact[Opportunity ID])</f>
        <v>0</v>
      </c>
      <c r="AC428">
        <f>IFERROR(INDEX(Fact[[#All],[Opportunity ID]],MATCH(X428,Fact[[#All],[salestage.Sales Stage]],0))/INDEX(Fact[[#All],[Opportunity ID]],MATCH(X427,Fact[[#All],[salestage.Sales Stage]],0)), "")</f>
        <v>2</v>
      </c>
    </row>
    <row r="429" spans="1:29" x14ac:dyDescent="0.3">
      <c r="A429" s="1">
        <v>42338.457638888889</v>
      </c>
      <c r="B429">
        <v>428</v>
      </c>
      <c r="C429">
        <v>1</v>
      </c>
      <c r="D429">
        <v>329</v>
      </c>
      <c r="E429">
        <v>90</v>
      </c>
      <c r="F429">
        <v>2</v>
      </c>
      <c r="G429">
        <v>11888801</v>
      </c>
      <c r="H429" s="5">
        <v>1188880</v>
      </c>
      <c r="I429" s="1">
        <v>9</v>
      </c>
      <c r="J429">
        <v>690</v>
      </c>
      <c r="K429">
        <v>2015</v>
      </c>
      <c r="L429">
        <v>11</v>
      </c>
      <c r="M429" t="s">
        <v>506</v>
      </c>
      <c r="N429" t="s">
        <v>3</v>
      </c>
      <c r="O429" t="s">
        <v>884</v>
      </c>
      <c r="P429">
        <v>483</v>
      </c>
      <c r="Q429">
        <v>3</v>
      </c>
      <c r="R429" t="s">
        <v>9</v>
      </c>
      <c r="S429" t="s">
        <v>3</v>
      </c>
      <c r="T429" t="s">
        <v>171</v>
      </c>
      <c r="U429" t="s">
        <v>125</v>
      </c>
      <c r="V429" t="s">
        <v>72</v>
      </c>
      <c r="W429">
        <v>0.1</v>
      </c>
      <c r="X429" t="s">
        <v>195</v>
      </c>
      <c r="Y429" t="s">
        <v>478</v>
      </c>
      <c r="Z429" t="s">
        <v>8</v>
      </c>
      <c r="AA429" t="s">
        <v>9</v>
      </c>
      <c r="AB429">
        <f xml:space="preserve"> COUNTIF(Fact[[#This Row],[Partner.Partner Driven]], "Yes") / COUNTA(Fact[Opportunity ID])</f>
        <v>2.05761316872428E-3</v>
      </c>
      <c r="AC429">
        <f>IFERROR(INDEX(Fact[[#All],[Opportunity ID]],MATCH(X429,Fact[[#All],[salestage.Sales Stage]],0))/INDEX(Fact[[#All],[Opportunity ID]],MATCH(X428,Fact[[#All],[salestage.Sales Stage]],0)), "")</f>
        <v>1</v>
      </c>
    </row>
    <row r="430" spans="1:29" x14ac:dyDescent="0.3">
      <c r="A430" s="1">
        <v>42124.457638888889</v>
      </c>
      <c r="B430">
        <v>429</v>
      </c>
      <c r="C430">
        <v>2</v>
      </c>
      <c r="D430">
        <v>330</v>
      </c>
      <c r="E430">
        <v>22</v>
      </c>
      <c r="F430">
        <v>17</v>
      </c>
      <c r="G430">
        <v>3718538</v>
      </c>
      <c r="H430" s="5">
        <v>743708</v>
      </c>
      <c r="I430" s="1">
        <v>13</v>
      </c>
      <c r="J430">
        <v>382</v>
      </c>
      <c r="K430">
        <v>2015</v>
      </c>
      <c r="L430">
        <v>4</v>
      </c>
      <c r="M430" t="s">
        <v>510</v>
      </c>
      <c r="N430" t="s">
        <v>13</v>
      </c>
      <c r="O430" t="s">
        <v>885</v>
      </c>
      <c r="P430">
        <v>230</v>
      </c>
      <c r="Q430">
        <v>2</v>
      </c>
      <c r="R430" t="s">
        <v>143</v>
      </c>
      <c r="S430" t="s">
        <v>13</v>
      </c>
      <c r="T430" t="s">
        <v>186</v>
      </c>
      <c r="U430" t="s">
        <v>84</v>
      </c>
      <c r="V430" t="s">
        <v>85</v>
      </c>
      <c r="W430">
        <v>0.2</v>
      </c>
      <c r="X430" t="s">
        <v>196</v>
      </c>
      <c r="Y430" t="s">
        <v>479</v>
      </c>
      <c r="Z430" t="s">
        <v>13</v>
      </c>
      <c r="AA430" t="s">
        <v>4</v>
      </c>
      <c r="AB430">
        <f xml:space="preserve"> COUNTIF(Fact[[#This Row],[Partner.Partner Driven]], "Yes") / COUNTA(Fact[Opportunity ID])</f>
        <v>0</v>
      </c>
      <c r="AC430">
        <f>IFERROR(INDEX(Fact[[#All],[Opportunity ID]],MATCH(X430,Fact[[#All],[salestage.Sales Stage]],0))/INDEX(Fact[[#All],[Opportunity ID]],MATCH(X429,Fact[[#All],[salestage.Sales Stage]],0)), "")</f>
        <v>0.5</v>
      </c>
    </row>
    <row r="431" spans="1:29" x14ac:dyDescent="0.3">
      <c r="A431" s="1">
        <v>42062.457638888889</v>
      </c>
      <c r="B431">
        <v>430</v>
      </c>
      <c r="C431">
        <v>3</v>
      </c>
      <c r="D431">
        <v>331</v>
      </c>
      <c r="E431">
        <v>22</v>
      </c>
      <c r="F431">
        <v>25</v>
      </c>
      <c r="G431">
        <v>85763</v>
      </c>
      <c r="H431" s="5">
        <v>34305</v>
      </c>
      <c r="I431" s="1">
        <v>26</v>
      </c>
      <c r="J431">
        <v>366</v>
      </c>
      <c r="K431">
        <v>2015</v>
      </c>
      <c r="L431">
        <v>2</v>
      </c>
      <c r="M431" t="s">
        <v>509</v>
      </c>
      <c r="N431" t="s">
        <v>13</v>
      </c>
      <c r="O431" t="s">
        <v>887</v>
      </c>
      <c r="P431">
        <v>10</v>
      </c>
      <c r="Q431">
        <v>1</v>
      </c>
      <c r="R431" t="s">
        <v>138</v>
      </c>
      <c r="S431" t="s">
        <v>13</v>
      </c>
      <c r="T431" t="s">
        <v>194</v>
      </c>
      <c r="U431" t="s">
        <v>84</v>
      </c>
      <c r="V431" t="s">
        <v>85</v>
      </c>
      <c r="W431">
        <v>0.4</v>
      </c>
      <c r="X431" t="s">
        <v>197</v>
      </c>
      <c r="Y431" t="s">
        <v>480</v>
      </c>
      <c r="Z431" t="s">
        <v>13</v>
      </c>
      <c r="AA431" t="s">
        <v>9</v>
      </c>
      <c r="AB431">
        <f xml:space="preserve"> COUNTIF(Fact[[#This Row],[Partner.Partner Driven]], "Yes") / COUNTA(Fact[Opportunity ID])</f>
        <v>0</v>
      </c>
      <c r="AC431">
        <f>IFERROR(INDEX(Fact[[#All],[Opportunity ID]],MATCH(X431,Fact[[#All],[salestage.Sales Stage]],0))/INDEX(Fact[[#All],[Opportunity ID]],MATCH(X430,Fact[[#All],[salestage.Sales Stage]],0)), "")</f>
        <v>9</v>
      </c>
    </row>
    <row r="432" spans="1:29" x14ac:dyDescent="0.3">
      <c r="A432" s="1">
        <v>42062.457638888889</v>
      </c>
      <c r="B432">
        <v>431</v>
      </c>
      <c r="C432">
        <v>4</v>
      </c>
      <c r="D432">
        <v>125</v>
      </c>
      <c r="E432">
        <v>91</v>
      </c>
      <c r="F432">
        <v>7</v>
      </c>
      <c r="G432">
        <v>1624483</v>
      </c>
      <c r="H432" s="5">
        <v>974690</v>
      </c>
      <c r="I432" s="1">
        <v>23</v>
      </c>
      <c r="J432">
        <v>369</v>
      </c>
      <c r="K432">
        <v>2015</v>
      </c>
      <c r="L432">
        <v>2</v>
      </c>
      <c r="M432" t="s">
        <v>509</v>
      </c>
      <c r="N432" t="s">
        <v>3</v>
      </c>
      <c r="O432" t="s">
        <v>888</v>
      </c>
      <c r="P432">
        <v>109</v>
      </c>
      <c r="Q432">
        <v>1</v>
      </c>
      <c r="R432" t="s">
        <v>138</v>
      </c>
      <c r="S432" t="s">
        <v>3</v>
      </c>
      <c r="T432" t="s">
        <v>176</v>
      </c>
      <c r="U432" t="s">
        <v>521</v>
      </c>
      <c r="V432" t="s">
        <v>72</v>
      </c>
      <c r="W432">
        <v>0.6</v>
      </c>
      <c r="X432" t="s">
        <v>198</v>
      </c>
      <c r="Y432" t="s">
        <v>276</v>
      </c>
      <c r="Z432" t="s">
        <v>3</v>
      </c>
      <c r="AA432" t="s">
        <v>9</v>
      </c>
      <c r="AB432">
        <f xml:space="preserve"> COUNTIF(Fact[[#This Row],[Partner.Partner Driven]], "Yes") / COUNTA(Fact[Opportunity ID])</f>
        <v>2.05761316872428E-3</v>
      </c>
      <c r="AC432">
        <f>IFERROR(INDEX(Fact[[#All],[Opportunity ID]],MATCH(X432,Fact[[#All],[salestage.Sales Stage]],0))/INDEX(Fact[[#All],[Opportunity ID]],MATCH(X431,Fact[[#All],[salestage.Sales Stage]],0)), "")</f>
        <v>3.1111111111111112</v>
      </c>
    </row>
    <row r="433" spans="1:29" x14ac:dyDescent="0.3">
      <c r="A433" s="1">
        <v>42153.457638888889</v>
      </c>
      <c r="B433">
        <v>432</v>
      </c>
      <c r="C433">
        <v>1</v>
      </c>
      <c r="D433">
        <v>188</v>
      </c>
      <c r="E433">
        <v>22</v>
      </c>
      <c r="F433">
        <v>6</v>
      </c>
      <c r="G433">
        <v>2599414</v>
      </c>
      <c r="H433" s="5">
        <v>259941</v>
      </c>
      <c r="I433" s="1">
        <v>21</v>
      </c>
      <c r="J433">
        <v>493</v>
      </c>
      <c r="K433">
        <v>2015</v>
      </c>
      <c r="L433">
        <v>5</v>
      </c>
      <c r="M433" t="s">
        <v>68</v>
      </c>
      <c r="N433" t="s">
        <v>3</v>
      </c>
      <c r="O433" t="s">
        <v>889</v>
      </c>
      <c r="P433">
        <v>170</v>
      </c>
      <c r="Q433">
        <v>2</v>
      </c>
      <c r="R433" t="s">
        <v>143</v>
      </c>
      <c r="S433" t="s">
        <v>3</v>
      </c>
      <c r="T433" t="s">
        <v>175</v>
      </c>
      <c r="U433" t="s">
        <v>84</v>
      </c>
      <c r="V433" t="s">
        <v>85</v>
      </c>
      <c r="W433">
        <v>0.1</v>
      </c>
      <c r="X433" t="s">
        <v>195</v>
      </c>
      <c r="Y433" t="s">
        <v>339</v>
      </c>
      <c r="Z433" t="s">
        <v>13</v>
      </c>
      <c r="AA433" t="s">
        <v>4</v>
      </c>
      <c r="AB433">
        <f xml:space="preserve"> COUNTIF(Fact[[#This Row],[Partner.Partner Driven]], "Yes") / COUNTA(Fact[Opportunity ID])</f>
        <v>0</v>
      </c>
      <c r="AC433">
        <f>IFERROR(INDEX(Fact[[#All],[Opportunity ID]],MATCH(X433,Fact[[#All],[salestage.Sales Stage]],0))/INDEX(Fact[[#All],[Opportunity ID]],MATCH(X432,Fact[[#All],[salestage.Sales Stage]],0)), "")</f>
        <v>7.1428571428571425E-2</v>
      </c>
    </row>
    <row r="434" spans="1:29" x14ac:dyDescent="0.3">
      <c r="A434" s="1">
        <v>42124.457638888889</v>
      </c>
      <c r="B434">
        <v>433</v>
      </c>
      <c r="C434">
        <v>1</v>
      </c>
      <c r="D434">
        <v>282</v>
      </c>
      <c r="E434">
        <v>22</v>
      </c>
      <c r="F434">
        <v>10</v>
      </c>
      <c r="G434">
        <v>200538</v>
      </c>
      <c r="H434" s="5">
        <v>20054</v>
      </c>
      <c r="I434" s="1">
        <v>7</v>
      </c>
      <c r="J434">
        <v>447</v>
      </c>
      <c r="K434">
        <v>2015</v>
      </c>
      <c r="L434">
        <v>4</v>
      </c>
      <c r="M434" t="s">
        <v>510</v>
      </c>
      <c r="N434" t="s">
        <v>13</v>
      </c>
      <c r="O434" t="s">
        <v>890</v>
      </c>
      <c r="P434">
        <v>23</v>
      </c>
      <c r="Q434">
        <v>1</v>
      </c>
      <c r="R434" t="s">
        <v>138</v>
      </c>
      <c r="S434" t="s">
        <v>13</v>
      </c>
      <c r="T434" t="s">
        <v>179</v>
      </c>
      <c r="U434" t="s">
        <v>84</v>
      </c>
      <c r="V434" t="s">
        <v>85</v>
      </c>
      <c r="W434">
        <v>0.1</v>
      </c>
      <c r="X434" t="s">
        <v>195</v>
      </c>
      <c r="Y434" t="s">
        <v>312</v>
      </c>
      <c r="Z434" t="s">
        <v>3</v>
      </c>
      <c r="AA434" t="s">
        <v>9</v>
      </c>
      <c r="AB434">
        <f xml:space="preserve"> COUNTIF(Fact[[#This Row],[Partner.Partner Driven]], "Yes") / COUNTA(Fact[Opportunity ID])</f>
        <v>0</v>
      </c>
      <c r="AC434">
        <f>IFERROR(INDEX(Fact[[#All],[Opportunity ID]],MATCH(X434,Fact[[#All],[salestage.Sales Stage]],0))/INDEX(Fact[[#All],[Opportunity ID]],MATCH(X433,Fact[[#All],[salestage.Sales Stage]],0)), "")</f>
        <v>1</v>
      </c>
    </row>
    <row r="435" spans="1:29" x14ac:dyDescent="0.3">
      <c r="A435" s="1">
        <v>42216.333333333336</v>
      </c>
      <c r="B435">
        <v>434</v>
      </c>
      <c r="C435">
        <v>1</v>
      </c>
      <c r="D435">
        <v>332</v>
      </c>
      <c r="E435">
        <v>34</v>
      </c>
      <c r="F435">
        <v>24</v>
      </c>
      <c r="G435">
        <v>7209096</v>
      </c>
      <c r="H435" s="5">
        <v>720910</v>
      </c>
      <c r="I435" s="1">
        <v>19</v>
      </c>
      <c r="J435">
        <v>558</v>
      </c>
      <c r="K435">
        <v>2015</v>
      </c>
      <c r="L435">
        <v>7</v>
      </c>
      <c r="M435" t="s">
        <v>69</v>
      </c>
      <c r="N435" t="s">
        <v>13</v>
      </c>
      <c r="O435" t="s">
        <v>891</v>
      </c>
      <c r="P435">
        <v>394</v>
      </c>
      <c r="Q435">
        <v>3</v>
      </c>
      <c r="R435" t="s">
        <v>9</v>
      </c>
      <c r="S435" t="s">
        <v>13</v>
      </c>
      <c r="T435" t="s">
        <v>193</v>
      </c>
      <c r="U435" t="s">
        <v>80</v>
      </c>
      <c r="V435" t="s">
        <v>72</v>
      </c>
      <c r="W435">
        <v>0.1</v>
      </c>
      <c r="X435" t="s">
        <v>195</v>
      </c>
      <c r="Y435" t="s">
        <v>481</v>
      </c>
      <c r="Z435" t="s">
        <v>8</v>
      </c>
      <c r="AA435" t="s">
        <v>6</v>
      </c>
      <c r="AB435">
        <f xml:space="preserve"> COUNTIF(Fact[[#This Row],[Partner.Partner Driven]], "Yes") / COUNTA(Fact[Opportunity ID])</f>
        <v>2.05761316872428E-3</v>
      </c>
      <c r="AC435">
        <f>IFERROR(INDEX(Fact[[#All],[Opportunity ID]],MATCH(X435,Fact[[#All],[salestage.Sales Stage]],0))/INDEX(Fact[[#All],[Opportunity ID]],MATCH(X434,Fact[[#All],[salestage.Sales Stage]],0)), "")</f>
        <v>1</v>
      </c>
    </row>
    <row r="436" spans="1:29" x14ac:dyDescent="0.3">
      <c r="A436" s="1">
        <v>42146.457638888889</v>
      </c>
      <c r="B436">
        <v>435</v>
      </c>
      <c r="C436">
        <v>1</v>
      </c>
      <c r="D436">
        <v>139</v>
      </c>
      <c r="E436">
        <v>92</v>
      </c>
      <c r="F436">
        <v>8</v>
      </c>
      <c r="G436">
        <v>4532970</v>
      </c>
      <c r="H436" s="5">
        <v>453297</v>
      </c>
      <c r="I436" s="1">
        <v>7</v>
      </c>
      <c r="J436">
        <v>469</v>
      </c>
      <c r="K436">
        <v>2015</v>
      </c>
      <c r="L436">
        <v>5</v>
      </c>
      <c r="M436" t="s">
        <v>68</v>
      </c>
      <c r="N436" t="s">
        <v>8</v>
      </c>
      <c r="O436" t="s">
        <v>892</v>
      </c>
      <c r="P436">
        <v>270</v>
      </c>
      <c r="Q436">
        <v>2</v>
      </c>
      <c r="R436" t="s">
        <v>143</v>
      </c>
      <c r="S436" t="s">
        <v>8</v>
      </c>
      <c r="T436" t="s">
        <v>177</v>
      </c>
      <c r="U436" t="s">
        <v>524</v>
      </c>
      <c r="V436" t="s">
        <v>72</v>
      </c>
      <c r="W436">
        <v>0.1</v>
      </c>
      <c r="X436" t="s">
        <v>195</v>
      </c>
      <c r="Y436" t="s">
        <v>290</v>
      </c>
      <c r="Z436" t="s">
        <v>13</v>
      </c>
      <c r="AA436" t="s">
        <v>9</v>
      </c>
      <c r="AB436">
        <f xml:space="preserve"> COUNTIF(Fact[[#This Row],[Partner.Partner Driven]], "Yes") / COUNTA(Fact[Opportunity ID])</f>
        <v>2.05761316872428E-3</v>
      </c>
      <c r="AC436">
        <f>IFERROR(INDEX(Fact[[#All],[Opportunity ID]],MATCH(X436,Fact[[#All],[salestage.Sales Stage]],0))/INDEX(Fact[[#All],[Opportunity ID]],MATCH(X435,Fact[[#All],[salestage.Sales Stage]],0)), "")</f>
        <v>1</v>
      </c>
    </row>
    <row r="437" spans="1:29" x14ac:dyDescent="0.3">
      <c r="A437" s="1">
        <v>42049.457638888889</v>
      </c>
      <c r="B437">
        <v>436</v>
      </c>
      <c r="C437">
        <v>3</v>
      </c>
      <c r="D437">
        <v>333</v>
      </c>
      <c r="E437">
        <v>93</v>
      </c>
      <c r="F437">
        <v>24</v>
      </c>
      <c r="G437">
        <v>668168</v>
      </c>
      <c r="H437" s="5">
        <v>267267</v>
      </c>
      <c r="I437" s="1">
        <v>7</v>
      </c>
      <c r="J437">
        <v>372</v>
      </c>
      <c r="K437">
        <v>2015</v>
      </c>
      <c r="L437">
        <v>2</v>
      </c>
      <c r="M437" t="s">
        <v>509</v>
      </c>
      <c r="N437" t="s">
        <v>13</v>
      </c>
      <c r="O437" t="s">
        <v>893</v>
      </c>
      <c r="P437">
        <v>53</v>
      </c>
      <c r="Q437">
        <v>1</v>
      </c>
      <c r="R437" t="s">
        <v>138</v>
      </c>
      <c r="S437" t="s">
        <v>13</v>
      </c>
      <c r="T437" t="s">
        <v>193</v>
      </c>
      <c r="U437" t="s">
        <v>121</v>
      </c>
      <c r="V437" t="s">
        <v>72</v>
      </c>
      <c r="W437">
        <v>0.4</v>
      </c>
      <c r="X437" t="s">
        <v>197</v>
      </c>
      <c r="Y437" t="s">
        <v>482</v>
      </c>
      <c r="Z437" t="s">
        <v>3</v>
      </c>
      <c r="AA437" t="s">
        <v>6</v>
      </c>
      <c r="AB437">
        <f xml:space="preserve"> COUNTIF(Fact[[#This Row],[Partner.Partner Driven]], "Yes") / COUNTA(Fact[Opportunity ID])</f>
        <v>2.05761316872428E-3</v>
      </c>
      <c r="AC437">
        <f>IFERROR(INDEX(Fact[[#All],[Opportunity ID]],MATCH(X437,Fact[[#All],[salestage.Sales Stage]],0))/INDEX(Fact[[#All],[Opportunity ID]],MATCH(X436,Fact[[#All],[salestage.Sales Stage]],0)), "")</f>
        <v>4.5</v>
      </c>
    </row>
    <row r="438" spans="1:29" x14ac:dyDescent="0.3">
      <c r="A438" s="1">
        <v>42146.457638888889</v>
      </c>
      <c r="B438">
        <v>437</v>
      </c>
      <c r="C438">
        <v>3</v>
      </c>
      <c r="D438">
        <v>334</v>
      </c>
      <c r="E438">
        <v>94</v>
      </c>
      <c r="F438">
        <v>6</v>
      </c>
      <c r="G438">
        <v>4065683</v>
      </c>
      <c r="H438" s="5">
        <v>1626273</v>
      </c>
      <c r="I438" s="1">
        <v>16</v>
      </c>
      <c r="J438">
        <v>371</v>
      </c>
      <c r="K438">
        <v>2015</v>
      </c>
      <c r="L438">
        <v>5</v>
      </c>
      <c r="M438" t="s">
        <v>68</v>
      </c>
      <c r="N438" t="s">
        <v>3</v>
      </c>
      <c r="O438" t="s">
        <v>894</v>
      </c>
      <c r="P438">
        <v>248</v>
      </c>
      <c r="Q438">
        <v>2</v>
      </c>
      <c r="R438" t="s">
        <v>143</v>
      </c>
      <c r="S438" t="s">
        <v>3</v>
      </c>
      <c r="T438" t="s">
        <v>175</v>
      </c>
      <c r="U438" t="s">
        <v>122</v>
      </c>
      <c r="V438" t="s">
        <v>72</v>
      </c>
      <c r="W438">
        <v>0.4</v>
      </c>
      <c r="X438" t="s">
        <v>197</v>
      </c>
      <c r="Y438" t="s">
        <v>483</v>
      </c>
      <c r="Z438" t="s">
        <v>8</v>
      </c>
      <c r="AA438" t="s">
        <v>9</v>
      </c>
      <c r="AB438">
        <f xml:space="preserve"> COUNTIF(Fact[[#This Row],[Partner.Partner Driven]], "Yes") / COUNTA(Fact[Opportunity ID])</f>
        <v>2.05761316872428E-3</v>
      </c>
      <c r="AC438">
        <f>IFERROR(INDEX(Fact[[#All],[Opportunity ID]],MATCH(X438,Fact[[#All],[salestage.Sales Stage]],0))/INDEX(Fact[[#All],[Opportunity ID]],MATCH(X437,Fact[[#All],[salestage.Sales Stage]],0)), "")</f>
        <v>1</v>
      </c>
    </row>
    <row r="439" spans="1:29" x14ac:dyDescent="0.3">
      <c r="A439" s="1">
        <v>42308.457638888889</v>
      </c>
      <c r="B439">
        <v>438</v>
      </c>
      <c r="C439">
        <v>1</v>
      </c>
      <c r="D439">
        <v>335</v>
      </c>
      <c r="E439">
        <v>8</v>
      </c>
      <c r="F439">
        <v>9</v>
      </c>
      <c r="G439">
        <v>9597240</v>
      </c>
      <c r="H439" s="5">
        <v>959724</v>
      </c>
      <c r="I439" s="1">
        <v>24</v>
      </c>
      <c r="J439">
        <v>555</v>
      </c>
      <c r="K439">
        <v>2015</v>
      </c>
      <c r="L439">
        <v>10</v>
      </c>
      <c r="M439" t="s">
        <v>505</v>
      </c>
      <c r="N439" t="s">
        <v>3</v>
      </c>
      <c r="O439" t="s">
        <v>895</v>
      </c>
      <c r="P439">
        <v>454</v>
      </c>
      <c r="Q439">
        <v>3</v>
      </c>
      <c r="R439" t="s">
        <v>9</v>
      </c>
      <c r="S439" t="s">
        <v>3</v>
      </c>
      <c r="T439" t="s">
        <v>178</v>
      </c>
      <c r="U439" t="s">
        <v>526</v>
      </c>
      <c r="V439" t="s">
        <v>72</v>
      </c>
      <c r="W439">
        <v>0.1</v>
      </c>
      <c r="X439" t="s">
        <v>195</v>
      </c>
      <c r="Y439" t="s">
        <v>484</v>
      </c>
      <c r="Z439" t="s">
        <v>8</v>
      </c>
      <c r="AA439" t="s">
        <v>9</v>
      </c>
      <c r="AB439">
        <f xml:space="preserve"> COUNTIF(Fact[[#This Row],[Partner.Partner Driven]], "Yes") / COUNTA(Fact[Opportunity ID])</f>
        <v>2.05761316872428E-3</v>
      </c>
      <c r="AC439">
        <f>IFERROR(INDEX(Fact[[#All],[Opportunity ID]],MATCH(X439,Fact[[#All],[salestage.Sales Stage]],0))/INDEX(Fact[[#All],[Opportunity ID]],MATCH(X438,Fact[[#All],[salestage.Sales Stage]],0)), "")</f>
        <v>0.22222222222222221</v>
      </c>
    </row>
    <row r="440" spans="1:29" x14ac:dyDescent="0.3">
      <c r="A440" s="1">
        <v>42369.457638888889</v>
      </c>
      <c r="B440">
        <v>439</v>
      </c>
      <c r="C440">
        <v>1</v>
      </c>
      <c r="D440">
        <v>336</v>
      </c>
      <c r="E440">
        <v>95</v>
      </c>
      <c r="F440">
        <v>8</v>
      </c>
      <c r="G440">
        <v>4334161</v>
      </c>
      <c r="H440" s="5">
        <v>433416</v>
      </c>
      <c r="I440" s="1">
        <v>15</v>
      </c>
      <c r="J440">
        <v>715</v>
      </c>
      <c r="K440">
        <v>2015</v>
      </c>
      <c r="L440">
        <v>12</v>
      </c>
      <c r="M440" t="s">
        <v>508</v>
      </c>
      <c r="N440" t="s">
        <v>3</v>
      </c>
      <c r="O440" t="s">
        <v>896</v>
      </c>
      <c r="P440">
        <v>261</v>
      </c>
      <c r="Q440">
        <v>2</v>
      </c>
      <c r="R440" t="s">
        <v>143</v>
      </c>
      <c r="S440" t="s">
        <v>3</v>
      </c>
      <c r="T440" t="s">
        <v>177</v>
      </c>
      <c r="U440" t="s">
        <v>75</v>
      </c>
      <c r="V440" t="s">
        <v>72</v>
      </c>
      <c r="W440">
        <v>0.1</v>
      </c>
      <c r="X440" t="s">
        <v>195</v>
      </c>
      <c r="Y440" t="s">
        <v>485</v>
      </c>
      <c r="Z440" t="s">
        <v>8</v>
      </c>
      <c r="AA440" t="s">
        <v>6</v>
      </c>
      <c r="AB440">
        <f xml:space="preserve"> COUNTIF(Fact[[#This Row],[Partner.Partner Driven]], "Yes") / COUNTA(Fact[Opportunity ID])</f>
        <v>2.05761316872428E-3</v>
      </c>
      <c r="AC440">
        <f>IFERROR(INDEX(Fact[[#All],[Opportunity ID]],MATCH(X440,Fact[[#All],[salestage.Sales Stage]],0))/INDEX(Fact[[#All],[Opportunity ID]],MATCH(X439,Fact[[#All],[salestage.Sales Stage]],0)), "")</f>
        <v>1</v>
      </c>
    </row>
    <row r="441" spans="1:29" x14ac:dyDescent="0.3">
      <c r="A441" s="1">
        <v>42216.333333333336</v>
      </c>
      <c r="B441">
        <v>440</v>
      </c>
      <c r="C441">
        <v>1</v>
      </c>
      <c r="D441">
        <v>337</v>
      </c>
      <c r="E441">
        <v>96</v>
      </c>
      <c r="F441">
        <v>19</v>
      </c>
      <c r="G441">
        <v>5304891</v>
      </c>
      <c r="H441" s="5">
        <v>530489</v>
      </c>
      <c r="I441" s="1">
        <v>18</v>
      </c>
      <c r="J441">
        <v>528</v>
      </c>
      <c r="K441">
        <v>2015</v>
      </c>
      <c r="L441">
        <v>7</v>
      </c>
      <c r="M441" t="s">
        <v>69</v>
      </c>
      <c r="N441" t="s">
        <v>13</v>
      </c>
      <c r="O441" t="s">
        <v>898</v>
      </c>
      <c r="P441">
        <v>312</v>
      </c>
      <c r="Q441">
        <v>2</v>
      </c>
      <c r="R441" t="s">
        <v>143</v>
      </c>
      <c r="S441" t="s">
        <v>13</v>
      </c>
      <c r="T441" t="s">
        <v>188</v>
      </c>
      <c r="U441" t="s">
        <v>103</v>
      </c>
      <c r="V441" t="s">
        <v>72</v>
      </c>
      <c r="W441">
        <v>0.1</v>
      </c>
      <c r="X441" t="s">
        <v>195</v>
      </c>
      <c r="Y441" t="s">
        <v>486</v>
      </c>
      <c r="Z441" t="s">
        <v>3</v>
      </c>
      <c r="AA441" t="s">
        <v>6</v>
      </c>
      <c r="AB441">
        <f xml:space="preserve"> COUNTIF(Fact[[#This Row],[Partner.Partner Driven]], "Yes") / COUNTA(Fact[Opportunity ID])</f>
        <v>2.05761316872428E-3</v>
      </c>
      <c r="AC441">
        <f>IFERROR(INDEX(Fact[[#All],[Opportunity ID]],MATCH(X441,Fact[[#All],[salestage.Sales Stage]],0))/INDEX(Fact[[#All],[Opportunity ID]],MATCH(X440,Fact[[#All],[salestage.Sales Stage]],0)), "")</f>
        <v>1</v>
      </c>
    </row>
    <row r="442" spans="1:29" x14ac:dyDescent="0.3">
      <c r="A442" s="1">
        <v>42216.333333333336</v>
      </c>
      <c r="B442">
        <v>441</v>
      </c>
      <c r="C442">
        <v>1</v>
      </c>
      <c r="D442">
        <v>338</v>
      </c>
      <c r="E442">
        <v>22</v>
      </c>
      <c r="F442">
        <v>13</v>
      </c>
      <c r="G442">
        <v>4360148</v>
      </c>
      <c r="H442" s="5">
        <v>436015</v>
      </c>
      <c r="I442" s="1">
        <v>20</v>
      </c>
      <c r="J442">
        <v>406</v>
      </c>
      <c r="K442">
        <v>2015</v>
      </c>
      <c r="L442">
        <v>7</v>
      </c>
      <c r="M442" t="s">
        <v>69</v>
      </c>
      <c r="N442" t="s">
        <v>13</v>
      </c>
      <c r="O442" t="s">
        <v>899</v>
      </c>
      <c r="P442">
        <v>263</v>
      </c>
      <c r="Q442">
        <v>2</v>
      </c>
      <c r="R442" t="s">
        <v>143</v>
      </c>
      <c r="S442" t="s">
        <v>13</v>
      </c>
      <c r="T442" t="s">
        <v>182</v>
      </c>
      <c r="U442" t="s">
        <v>84</v>
      </c>
      <c r="V442" t="s">
        <v>85</v>
      </c>
      <c r="W442">
        <v>0.1</v>
      </c>
      <c r="X442" t="s">
        <v>195</v>
      </c>
      <c r="Y442" t="s">
        <v>487</v>
      </c>
      <c r="Z442" t="s">
        <v>13</v>
      </c>
      <c r="AA442" t="s">
        <v>6</v>
      </c>
      <c r="AB442">
        <f xml:space="preserve"> COUNTIF(Fact[[#This Row],[Partner.Partner Driven]], "Yes") / COUNTA(Fact[Opportunity ID])</f>
        <v>0</v>
      </c>
      <c r="AC442">
        <f>IFERROR(INDEX(Fact[[#All],[Opportunity ID]],MATCH(X442,Fact[[#All],[salestage.Sales Stage]],0))/INDEX(Fact[[#All],[Opportunity ID]],MATCH(X441,Fact[[#All],[salestage.Sales Stage]],0)), "")</f>
        <v>1</v>
      </c>
    </row>
    <row r="443" spans="1:29" x14ac:dyDescent="0.3">
      <c r="A443" s="1">
        <v>42216.333333333336</v>
      </c>
      <c r="B443">
        <v>442</v>
      </c>
      <c r="C443">
        <v>1</v>
      </c>
      <c r="D443">
        <v>339</v>
      </c>
      <c r="E443">
        <v>8</v>
      </c>
      <c r="F443">
        <v>22</v>
      </c>
      <c r="G443">
        <v>9930347</v>
      </c>
      <c r="H443" s="5">
        <v>993035</v>
      </c>
      <c r="I443" s="1">
        <v>15</v>
      </c>
      <c r="J443">
        <v>442</v>
      </c>
      <c r="K443">
        <v>2015</v>
      </c>
      <c r="L443">
        <v>7</v>
      </c>
      <c r="M443" t="s">
        <v>69</v>
      </c>
      <c r="N443" t="s">
        <v>13</v>
      </c>
      <c r="O443" t="s">
        <v>900</v>
      </c>
      <c r="P443">
        <v>462</v>
      </c>
      <c r="Q443">
        <v>3</v>
      </c>
      <c r="R443" t="s">
        <v>9</v>
      </c>
      <c r="S443" t="s">
        <v>13</v>
      </c>
      <c r="T443" t="s">
        <v>191</v>
      </c>
      <c r="U443" t="s">
        <v>526</v>
      </c>
      <c r="V443" t="s">
        <v>72</v>
      </c>
      <c r="W443">
        <v>0.1</v>
      </c>
      <c r="X443" t="s">
        <v>195</v>
      </c>
      <c r="Y443" t="s">
        <v>488</v>
      </c>
      <c r="Z443" t="s">
        <v>8</v>
      </c>
      <c r="AA443" t="s">
        <v>4</v>
      </c>
      <c r="AB443">
        <f xml:space="preserve"> COUNTIF(Fact[[#This Row],[Partner.Partner Driven]], "Yes") / COUNTA(Fact[Opportunity ID])</f>
        <v>2.05761316872428E-3</v>
      </c>
      <c r="AC443">
        <f>IFERROR(INDEX(Fact[[#All],[Opportunity ID]],MATCH(X443,Fact[[#All],[salestage.Sales Stage]],0))/INDEX(Fact[[#All],[Opportunity ID]],MATCH(X442,Fact[[#All],[salestage.Sales Stage]],0)), "")</f>
        <v>1</v>
      </c>
    </row>
    <row r="444" spans="1:29" x14ac:dyDescent="0.3">
      <c r="A444" s="1">
        <v>42369.457638888889</v>
      </c>
      <c r="B444">
        <v>443</v>
      </c>
      <c r="C444">
        <v>1</v>
      </c>
      <c r="D444">
        <v>204</v>
      </c>
      <c r="E444">
        <v>8</v>
      </c>
      <c r="F444">
        <v>15</v>
      </c>
      <c r="G444">
        <v>3933011</v>
      </c>
      <c r="H444" s="5">
        <v>393301</v>
      </c>
      <c r="I444" s="1">
        <v>4</v>
      </c>
      <c r="J444">
        <v>422</v>
      </c>
      <c r="K444">
        <v>2015</v>
      </c>
      <c r="L444">
        <v>12</v>
      </c>
      <c r="M444" t="s">
        <v>508</v>
      </c>
      <c r="N444" t="s">
        <v>8</v>
      </c>
      <c r="O444" t="s">
        <v>901</v>
      </c>
      <c r="P444">
        <v>238</v>
      </c>
      <c r="Q444">
        <v>2</v>
      </c>
      <c r="R444" t="s">
        <v>143</v>
      </c>
      <c r="S444" t="s">
        <v>8</v>
      </c>
      <c r="T444" t="s">
        <v>184</v>
      </c>
      <c r="U444" t="s">
        <v>526</v>
      </c>
      <c r="V444" t="s">
        <v>72</v>
      </c>
      <c r="W444">
        <v>0.1</v>
      </c>
      <c r="X444" t="s">
        <v>195</v>
      </c>
      <c r="Y444" t="s">
        <v>355</v>
      </c>
      <c r="Z444" t="s">
        <v>3</v>
      </c>
      <c r="AA444" t="s">
        <v>4</v>
      </c>
      <c r="AB444">
        <f xml:space="preserve"> COUNTIF(Fact[[#This Row],[Partner.Partner Driven]], "Yes") / COUNTA(Fact[Opportunity ID])</f>
        <v>2.05761316872428E-3</v>
      </c>
      <c r="AC444">
        <f>IFERROR(INDEX(Fact[[#All],[Opportunity ID]],MATCH(X444,Fact[[#All],[salestage.Sales Stage]],0))/INDEX(Fact[[#All],[Opportunity ID]],MATCH(X443,Fact[[#All],[salestage.Sales Stage]],0)), "")</f>
        <v>1</v>
      </c>
    </row>
    <row r="445" spans="1:29" x14ac:dyDescent="0.3">
      <c r="A445" s="1">
        <v>42189.457638888889</v>
      </c>
      <c r="B445">
        <v>444</v>
      </c>
      <c r="C445">
        <v>3</v>
      </c>
      <c r="D445">
        <v>340</v>
      </c>
      <c r="E445">
        <v>97</v>
      </c>
      <c r="F445">
        <v>13</v>
      </c>
      <c r="G445">
        <v>10875494</v>
      </c>
      <c r="H445" s="5">
        <v>4350198</v>
      </c>
      <c r="I445" s="1">
        <v>3</v>
      </c>
      <c r="J445">
        <v>457</v>
      </c>
      <c r="K445">
        <v>2015</v>
      </c>
      <c r="L445">
        <v>7</v>
      </c>
      <c r="M445" t="s">
        <v>69</v>
      </c>
      <c r="N445" t="s">
        <v>3</v>
      </c>
      <c r="O445" t="s">
        <v>902</v>
      </c>
      <c r="P445">
        <v>473</v>
      </c>
      <c r="Q445">
        <v>3</v>
      </c>
      <c r="R445" t="s">
        <v>9</v>
      </c>
      <c r="S445" t="s">
        <v>3</v>
      </c>
      <c r="T445" t="s">
        <v>182</v>
      </c>
      <c r="U445" t="s">
        <v>109</v>
      </c>
      <c r="V445" t="s">
        <v>72</v>
      </c>
      <c r="W445">
        <v>0.4</v>
      </c>
      <c r="X445" t="s">
        <v>197</v>
      </c>
      <c r="Y445" t="s">
        <v>489</v>
      </c>
      <c r="Z445" t="s">
        <v>8</v>
      </c>
      <c r="AA445" t="s">
        <v>6</v>
      </c>
      <c r="AB445">
        <f xml:space="preserve"> COUNTIF(Fact[[#This Row],[Partner.Partner Driven]], "Yes") / COUNTA(Fact[Opportunity ID])</f>
        <v>2.05761316872428E-3</v>
      </c>
      <c r="AC445">
        <f>IFERROR(INDEX(Fact[[#All],[Opportunity ID]],MATCH(X445,Fact[[#All],[salestage.Sales Stage]],0))/INDEX(Fact[[#All],[Opportunity ID]],MATCH(X444,Fact[[#All],[salestage.Sales Stage]],0)), "")</f>
        <v>4.5</v>
      </c>
    </row>
    <row r="446" spans="1:29" x14ac:dyDescent="0.3">
      <c r="A446" s="1">
        <v>42088.457638888889</v>
      </c>
      <c r="B446">
        <v>445</v>
      </c>
      <c r="C446">
        <v>1</v>
      </c>
      <c r="D446">
        <v>341</v>
      </c>
      <c r="E446">
        <v>8</v>
      </c>
      <c r="F446">
        <v>5</v>
      </c>
      <c r="G446">
        <v>3583798</v>
      </c>
      <c r="H446" s="5">
        <v>358380</v>
      </c>
      <c r="I446" s="1">
        <v>20</v>
      </c>
      <c r="J446">
        <v>429</v>
      </c>
      <c r="K446">
        <v>2015</v>
      </c>
      <c r="L446">
        <v>3</v>
      </c>
      <c r="M446" t="s">
        <v>512</v>
      </c>
      <c r="N446" t="s">
        <v>13</v>
      </c>
      <c r="O446" t="s">
        <v>903</v>
      </c>
      <c r="P446">
        <v>220</v>
      </c>
      <c r="Q446">
        <v>2</v>
      </c>
      <c r="R446" t="s">
        <v>143</v>
      </c>
      <c r="S446" t="s">
        <v>13</v>
      </c>
      <c r="T446" t="s">
        <v>174</v>
      </c>
      <c r="U446" t="s">
        <v>526</v>
      </c>
      <c r="V446" t="s">
        <v>72</v>
      </c>
      <c r="W446">
        <v>0.1</v>
      </c>
      <c r="X446" t="s">
        <v>195</v>
      </c>
      <c r="Y446" t="s">
        <v>490</v>
      </c>
      <c r="Z446" t="s">
        <v>13</v>
      </c>
      <c r="AA446" t="s">
        <v>9</v>
      </c>
      <c r="AB446">
        <f xml:space="preserve"> COUNTIF(Fact[[#This Row],[Partner.Partner Driven]], "Yes") / COUNTA(Fact[Opportunity ID])</f>
        <v>2.05761316872428E-3</v>
      </c>
      <c r="AC446">
        <f>IFERROR(INDEX(Fact[[#All],[Opportunity ID]],MATCH(X446,Fact[[#All],[salestage.Sales Stage]],0))/INDEX(Fact[[#All],[Opportunity ID]],MATCH(X445,Fact[[#All],[salestage.Sales Stage]],0)), "")</f>
        <v>0.22222222222222221</v>
      </c>
    </row>
    <row r="447" spans="1:29" x14ac:dyDescent="0.3">
      <c r="A447" s="1">
        <v>42216.333333333336</v>
      </c>
      <c r="B447">
        <v>446</v>
      </c>
      <c r="C447">
        <v>1</v>
      </c>
      <c r="D447">
        <v>342</v>
      </c>
      <c r="E447">
        <v>8</v>
      </c>
      <c r="F447">
        <v>10</v>
      </c>
      <c r="G447">
        <v>8720248</v>
      </c>
      <c r="H447" s="5">
        <v>872025</v>
      </c>
      <c r="I447" s="1">
        <v>17</v>
      </c>
      <c r="J447">
        <v>440</v>
      </c>
      <c r="K447">
        <v>2015</v>
      </c>
      <c r="L447">
        <v>7</v>
      </c>
      <c r="M447" t="s">
        <v>69</v>
      </c>
      <c r="N447" t="s">
        <v>13</v>
      </c>
      <c r="O447" t="s">
        <v>904</v>
      </c>
      <c r="P447">
        <v>432</v>
      </c>
      <c r="Q447">
        <v>3</v>
      </c>
      <c r="R447" t="s">
        <v>9</v>
      </c>
      <c r="S447" t="s">
        <v>13</v>
      </c>
      <c r="T447" t="s">
        <v>179</v>
      </c>
      <c r="U447" t="s">
        <v>526</v>
      </c>
      <c r="V447" t="s">
        <v>72</v>
      </c>
      <c r="W447">
        <v>0.1</v>
      </c>
      <c r="X447" t="s">
        <v>195</v>
      </c>
      <c r="Y447" t="s">
        <v>491</v>
      </c>
      <c r="Z447" t="s">
        <v>3</v>
      </c>
      <c r="AA447" t="s">
        <v>6</v>
      </c>
      <c r="AB447">
        <f xml:space="preserve"> COUNTIF(Fact[[#This Row],[Partner.Partner Driven]], "Yes") / COUNTA(Fact[Opportunity ID])</f>
        <v>2.05761316872428E-3</v>
      </c>
      <c r="AC447">
        <f>IFERROR(INDEX(Fact[[#All],[Opportunity ID]],MATCH(X447,Fact[[#All],[salestage.Sales Stage]],0))/INDEX(Fact[[#All],[Opportunity ID]],MATCH(X446,Fact[[#All],[salestage.Sales Stage]],0)), "")</f>
        <v>1</v>
      </c>
    </row>
    <row r="448" spans="1:29" x14ac:dyDescent="0.3">
      <c r="A448" s="1">
        <v>42338.457638888889</v>
      </c>
      <c r="B448">
        <v>447</v>
      </c>
      <c r="C448">
        <v>1</v>
      </c>
      <c r="D448">
        <v>343</v>
      </c>
      <c r="E448">
        <v>8</v>
      </c>
      <c r="F448">
        <v>12</v>
      </c>
      <c r="G448">
        <v>8332937</v>
      </c>
      <c r="H448" s="5">
        <v>833294</v>
      </c>
      <c r="I448" s="1">
        <v>2</v>
      </c>
      <c r="J448">
        <v>516</v>
      </c>
      <c r="K448">
        <v>2015</v>
      </c>
      <c r="L448">
        <v>11</v>
      </c>
      <c r="M448" t="s">
        <v>506</v>
      </c>
      <c r="N448" t="s">
        <v>8</v>
      </c>
      <c r="O448" t="s">
        <v>905</v>
      </c>
      <c r="P448">
        <v>424</v>
      </c>
      <c r="Q448">
        <v>3</v>
      </c>
      <c r="R448" t="s">
        <v>9</v>
      </c>
      <c r="S448" t="s">
        <v>8</v>
      </c>
      <c r="T448" t="s">
        <v>181</v>
      </c>
      <c r="U448" t="s">
        <v>526</v>
      </c>
      <c r="V448" t="s">
        <v>72</v>
      </c>
      <c r="W448">
        <v>0.1</v>
      </c>
      <c r="X448" t="s">
        <v>195</v>
      </c>
      <c r="Y448" t="s">
        <v>492</v>
      </c>
      <c r="Z448" t="s">
        <v>8</v>
      </c>
      <c r="AA448" t="s">
        <v>6</v>
      </c>
      <c r="AB448">
        <f xml:space="preserve"> COUNTIF(Fact[[#This Row],[Partner.Partner Driven]], "Yes") / COUNTA(Fact[Opportunity ID])</f>
        <v>2.05761316872428E-3</v>
      </c>
      <c r="AC448">
        <f>IFERROR(INDEX(Fact[[#All],[Opportunity ID]],MATCH(X448,Fact[[#All],[salestage.Sales Stage]],0))/INDEX(Fact[[#All],[Opportunity ID]],MATCH(X447,Fact[[#All],[salestage.Sales Stage]],0)), "")</f>
        <v>1</v>
      </c>
    </row>
    <row r="449" spans="1:29" x14ac:dyDescent="0.3">
      <c r="A449" s="1">
        <v>42216.333333333336</v>
      </c>
      <c r="B449">
        <v>448</v>
      </c>
      <c r="C449">
        <v>2</v>
      </c>
      <c r="D449">
        <v>23</v>
      </c>
      <c r="E449">
        <v>22</v>
      </c>
      <c r="F449">
        <v>13</v>
      </c>
      <c r="G449">
        <v>943728</v>
      </c>
      <c r="H449" s="5">
        <v>188746</v>
      </c>
      <c r="I449" s="1">
        <v>4</v>
      </c>
      <c r="J449">
        <v>422</v>
      </c>
      <c r="K449">
        <v>2015</v>
      </c>
      <c r="L449">
        <v>7</v>
      </c>
      <c r="M449" t="s">
        <v>69</v>
      </c>
      <c r="N449" t="s">
        <v>13</v>
      </c>
      <c r="O449" t="s">
        <v>906</v>
      </c>
      <c r="P449">
        <v>68</v>
      </c>
      <c r="Q449">
        <v>1</v>
      </c>
      <c r="R449" t="s">
        <v>138</v>
      </c>
      <c r="S449" t="s">
        <v>13</v>
      </c>
      <c r="T449" t="s">
        <v>182</v>
      </c>
      <c r="U449" t="s">
        <v>84</v>
      </c>
      <c r="V449" t="s">
        <v>85</v>
      </c>
      <c r="W449">
        <v>0.2</v>
      </c>
      <c r="X449" t="s">
        <v>196</v>
      </c>
      <c r="Y449" t="s">
        <v>30</v>
      </c>
      <c r="Z449" t="s">
        <v>8</v>
      </c>
      <c r="AA449" t="s">
        <v>9</v>
      </c>
      <c r="AB449">
        <f xml:space="preserve"> COUNTIF(Fact[[#This Row],[Partner.Partner Driven]], "Yes") / COUNTA(Fact[Opportunity ID])</f>
        <v>0</v>
      </c>
      <c r="AC449">
        <f>IFERROR(INDEX(Fact[[#All],[Opportunity ID]],MATCH(X449,Fact[[#All],[salestage.Sales Stage]],0))/INDEX(Fact[[#All],[Opportunity ID]],MATCH(X448,Fact[[#All],[salestage.Sales Stage]],0)), "")</f>
        <v>0.5</v>
      </c>
    </row>
    <row r="450" spans="1:29" x14ac:dyDescent="0.3">
      <c r="A450" s="1">
        <v>42034.457638888889</v>
      </c>
      <c r="B450">
        <v>449</v>
      </c>
      <c r="C450">
        <v>5</v>
      </c>
      <c r="D450">
        <v>73</v>
      </c>
      <c r="E450">
        <v>8</v>
      </c>
      <c r="F450">
        <v>18</v>
      </c>
      <c r="G450">
        <v>6770072</v>
      </c>
      <c r="H450" s="5">
        <v>5416058</v>
      </c>
      <c r="I450" s="1">
        <v>6</v>
      </c>
      <c r="J450">
        <v>389</v>
      </c>
      <c r="K450">
        <v>2015</v>
      </c>
      <c r="L450">
        <v>1</v>
      </c>
      <c r="M450" t="s">
        <v>511</v>
      </c>
      <c r="N450" t="s">
        <v>8</v>
      </c>
      <c r="O450" t="s">
        <v>907</v>
      </c>
      <c r="P450">
        <v>378</v>
      </c>
      <c r="Q450">
        <v>3</v>
      </c>
      <c r="R450" t="s">
        <v>9</v>
      </c>
      <c r="S450" t="s">
        <v>8</v>
      </c>
      <c r="T450" t="s">
        <v>187</v>
      </c>
      <c r="U450" t="s">
        <v>526</v>
      </c>
      <c r="V450" t="s">
        <v>72</v>
      </c>
      <c r="W450">
        <v>0.8</v>
      </c>
      <c r="X450" t="s">
        <v>199</v>
      </c>
      <c r="Y450" t="s">
        <v>224</v>
      </c>
      <c r="Z450" t="s">
        <v>3</v>
      </c>
      <c r="AA450" t="s">
        <v>4</v>
      </c>
      <c r="AB450">
        <f xml:space="preserve"> COUNTIF(Fact[[#This Row],[Partner.Partner Driven]], "Yes") / COUNTA(Fact[Opportunity ID])</f>
        <v>2.05761316872428E-3</v>
      </c>
      <c r="AC450">
        <f>IFERROR(INDEX(Fact[[#All],[Opportunity ID]],MATCH(X450,Fact[[#All],[salestage.Sales Stage]],0))/INDEX(Fact[[#All],[Opportunity ID]],MATCH(X449,Fact[[#All],[salestage.Sales Stage]],0)), "")</f>
        <v>54</v>
      </c>
    </row>
    <row r="451" spans="1:29" x14ac:dyDescent="0.3">
      <c r="A451" s="1">
        <v>42214.25</v>
      </c>
      <c r="B451">
        <v>450</v>
      </c>
      <c r="C451">
        <v>1</v>
      </c>
      <c r="D451">
        <v>344</v>
      </c>
      <c r="E451">
        <v>22</v>
      </c>
      <c r="F451">
        <v>6</v>
      </c>
      <c r="G451">
        <v>4216969</v>
      </c>
      <c r="H451" s="5">
        <v>421697</v>
      </c>
      <c r="I451" s="1">
        <v>10</v>
      </c>
      <c r="J451">
        <v>534</v>
      </c>
      <c r="K451">
        <v>2015</v>
      </c>
      <c r="L451">
        <v>7</v>
      </c>
      <c r="M451" t="s">
        <v>69</v>
      </c>
      <c r="N451" t="s">
        <v>13</v>
      </c>
      <c r="O451" t="s">
        <v>909</v>
      </c>
      <c r="P451">
        <v>255</v>
      </c>
      <c r="Q451">
        <v>2</v>
      </c>
      <c r="R451" t="s">
        <v>143</v>
      </c>
      <c r="S451" t="s">
        <v>13</v>
      </c>
      <c r="T451" t="s">
        <v>175</v>
      </c>
      <c r="U451" t="s">
        <v>84</v>
      </c>
      <c r="V451" t="s">
        <v>85</v>
      </c>
      <c r="W451">
        <v>0.1</v>
      </c>
      <c r="X451" t="s">
        <v>195</v>
      </c>
      <c r="Y451" t="s">
        <v>493</v>
      </c>
      <c r="Z451" t="s">
        <v>13</v>
      </c>
      <c r="AA451" t="s">
        <v>6</v>
      </c>
      <c r="AB451">
        <f xml:space="preserve"> COUNTIF(Fact[[#This Row],[Partner.Partner Driven]], "Yes") / COUNTA(Fact[Opportunity ID])</f>
        <v>0</v>
      </c>
      <c r="AC451">
        <f>IFERROR(INDEX(Fact[[#All],[Opportunity ID]],MATCH(X451,Fact[[#All],[salestage.Sales Stage]],0))/INDEX(Fact[[#All],[Opportunity ID]],MATCH(X450,Fact[[#All],[salestage.Sales Stage]],0)), "")</f>
        <v>3.7037037037037035E-2</v>
      </c>
    </row>
    <row r="452" spans="1:29" x14ac:dyDescent="0.3">
      <c r="A452" s="1">
        <v>42034.457638888889</v>
      </c>
      <c r="B452">
        <v>451</v>
      </c>
      <c r="C452">
        <v>5</v>
      </c>
      <c r="D452">
        <v>345</v>
      </c>
      <c r="E452">
        <v>31</v>
      </c>
      <c r="F452">
        <v>9</v>
      </c>
      <c r="G452">
        <v>6347126</v>
      </c>
      <c r="H452" s="5">
        <v>5077701</v>
      </c>
      <c r="I452" s="1">
        <v>16</v>
      </c>
      <c r="J452">
        <v>379</v>
      </c>
      <c r="K452">
        <v>2015</v>
      </c>
      <c r="L452">
        <v>1</v>
      </c>
      <c r="M452" t="s">
        <v>511</v>
      </c>
      <c r="N452" t="s">
        <v>13</v>
      </c>
      <c r="O452" t="s">
        <v>910</v>
      </c>
      <c r="P452">
        <v>362</v>
      </c>
      <c r="Q452">
        <v>3</v>
      </c>
      <c r="R452" t="s">
        <v>9</v>
      </c>
      <c r="S452" t="s">
        <v>13</v>
      </c>
      <c r="T452" t="s">
        <v>178</v>
      </c>
      <c r="U452" t="s">
        <v>136</v>
      </c>
      <c r="V452" t="s">
        <v>72</v>
      </c>
      <c r="W452">
        <v>0.8</v>
      </c>
      <c r="X452" t="s">
        <v>199</v>
      </c>
      <c r="Y452" t="s">
        <v>494</v>
      </c>
      <c r="Z452" t="s">
        <v>8</v>
      </c>
      <c r="AA452" t="s">
        <v>4</v>
      </c>
      <c r="AB452">
        <f xml:space="preserve"> COUNTIF(Fact[[#This Row],[Partner.Partner Driven]], "Yes") / COUNTA(Fact[Opportunity ID])</f>
        <v>2.05761316872428E-3</v>
      </c>
      <c r="AC452">
        <f>IFERROR(INDEX(Fact[[#All],[Opportunity ID]],MATCH(X452,Fact[[#All],[salestage.Sales Stage]],0))/INDEX(Fact[[#All],[Opportunity ID]],MATCH(X451,Fact[[#All],[salestage.Sales Stage]],0)), "")</f>
        <v>27</v>
      </c>
    </row>
    <row r="453" spans="1:29" x14ac:dyDescent="0.3">
      <c r="A453" s="1">
        <v>42247.457638888889</v>
      </c>
      <c r="B453">
        <v>452</v>
      </c>
      <c r="C453">
        <v>1</v>
      </c>
      <c r="D453">
        <v>1</v>
      </c>
      <c r="E453">
        <v>8</v>
      </c>
      <c r="F453">
        <v>12</v>
      </c>
      <c r="G453">
        <v>3673659</v>
      </c>
      <c r="H453" s="5">
        <v>367366</v>
      </c>
      <c r="I453" s="1">
        <v>10</v>
      </c>
      <c r="J453">
        <v>386</v>
      </c>
      <c r="K453">
        <v>2015</v>
      </c>
      <c r="L453">
        <v>8</v>
      </c>
      <c r="M453" t="s">
        <v>513</v>
      </c>
      <c r="N453" t="s">
        <v>8</v>
      </c>
      <c r="O453" t="s">
        <v>911</v>
      </c>
      <c r="P453">
        <v>226</v>
      </c>
      <c r="Q453">
        <v>2</v>
      </c>
      <c r="R453" t="s">
        <v>143</v>
      </c>
      <c r="S453" t="s">
        <v>8</v>
      </c>
      <c r="T453" t="s">
        <v>181</v>
      </c>
      <c r="U453" t="s">
        <v>526</v>
      </c>
      <c r="V453" t="s">
        <v>72</v>
      </c>
      <c r="W453">
        <v>0.1</v>
      </c>
      <c r="X453" t="s">
        <v>195</v>
      </c>
      <c r="Y453" t="s">
        <v>2</v>
      </c>
      <c r="Z453" t="s">
        <v>3</v>
      </c>
      <c r="AA453" t="s">
        <v>4</v>
      </c>
      <c r="AB453">
        <f xml:space="preserve"> COUNTIF(Fact[[#This Row],[Partner.Partner Driven]], "Yes") / COUNTA(Fact[Opportunity ID])</f>
        <v>2.05761316872428E-3</v>
      </c>
      <c r="AC453">
        <f>IFERROR(INDEX(Fact[[#All],[Opportunity ID]],MATCH(X453,Fact[[#All],[salestage.Sales Stage]],0))/INDEX(Fact[[#All],[Opportunity ID]],MATCH(X452,Fact[[#All],[salestage.Sales Stage]],0)), "")</f>
        <v>3.7037037037037035E-2</v>
      </c>
    </row>
    <row r="454" spans="1:29" x14ac:dyDescent="0.3">
      <c r="A454" s="1">
        <v>42104.457638888889</v>
      </c>
      <c r="B454">
        <v>453</v>
      </c>
      <c r="C454">
        <v>1</v>
      </c>
      <c r="D454">
        <v>346</v>
      </c>
      <c r="E454">
        <v>8</v>
      </c>
      <c r="F454">
        <v>23</v>
      </c>
      <c r="G454">
        <v>6729791</v>
      </c>
      <c r="H454" s="5">
        <v>672979</v>
      </c>
      <c r="I454" s="1">
        <v>5</v>
      </c>
      <c r="J454">
        <v>460</v>
      </c>
      <c r="K454">
        <v>2015</v>
      </c>
      <c r="L454">
        <v>4</v>
      </c>
      <c r="M454" t="s">
        <v>510</v>
      </c>
      <c r="N454" t="s">
        <v>8</v>
      </c>
      <c r="O454" t="s">
        <v>912</v>
      </c>
      <c r="P454">
        <v>375</v>
      </c>
      <c r="Q454">
        <v>3</v>
      </c>
      <c r="R454" t="s">
        <v>9</v>
      </c>
      <c r="S454" t="s">
        <v>8</v>
      </c>
      <c r="T454" t="s">
        <v>192</v>
      </c>
      <c r="U454" t="s">
        <v>526</v>
      </c>
      <c r="V454" t="s">
        <v>72</v>
      </c>
      <c r="W454">
        <v>0.1</v>
      </c>
      <c r="X454" t="s">
        <v>195</v>
      </c>
      <c r="Y454" t="s">
        <v>495</v>
      </c>
      <c r="Z454" t="s">
        <v>13</v>
      </c>
      <c r="AA454" t="s">
        <v>4</v>
      </c>
      <c r="AB454">
        <f xml:space="preserve"> COUNTIF(Fact[[#This Row],[Partner.Partner Driven]], "Yes") / COUNTA(Fact[Opportunity ID])</f>
        <v>2.05761316872428E-3</v>
      </c>
      <c r="AC454">
        <f>IFERROR(INDEX(Fact[[#All],[Opportunity ID]],MATCH(X454,Fact[[#All],[salestage.Sales Stage]],0))/INDEX(Fact[[#All],[Opportunity ID]],MATCH(X453,Fact[[#All],[salestage.Sales Stage]],0)), "")</f>
        <v>1</v>
      </c>
    </row>
    <row r="455" spans="1:29" x14ac:dyDescent="0.3">
      <c r="A455" s="1">
        <v>42277.457638888889</v>
      </c>
      <c r="B455">
        <v>454</v>
      </c>
      <c r="C455">
        <v>1</v>
      </c>
      <c r="D455">
        <v>118</v>
      </c>
      <c r="E455">
        <v>8</v>
      </c>
      <c r="F455">
        <v>9</v>
      </c>
      <c r="G455">
        <v>10344442</v>
      </c>
      <c r="H455" s="5">
        <v>1034444</v>
      </c>
      <c r="I455" s="1">
        <v>30</v>
      </c>
      <c r="J455">
        <v>488</v>
      </c>
      <c r="K455">
        <v>2015</v>
      </c>
      <c r="L455">
        <v>9</v>
      </c>
      <c r="M455" t="s">
        <v>507</v>
      </c>
      <c r="N455" t="s">
        <v>13</v>
      </c>
      <c r="O455" t="s">
        <v>913</v>
      </c>
      <c r="P455">
        <v>470</v>
      </c>
      <c r="Q455">
        <v>3</v>
      </c>
      <c r="R455" t="s">
        <v>9</v>
      </c>
      <c r="S455" t="s">
        <v>13</v>
      </c>
      <c r="T455" t="s">
        <v>178</v>
      </c>
      <c r="U455" t="s">
        <v>526</v>
      </c>
      <c r="V455" t="s">
        <v>72</v>
      </c>
      <c r="W455">
        <v>0.1</v>
      </c>
      <c r="X455" t="s">
        <v>195</v>
      </c>
      <c r="Y455" t="s">
        <v>269</v>
      </c>
      <c r="Z455" t="s">
        <v>13</v>
      </c>
      <c r="AA455" t="s">
        <v>6</v>
      </c>
      <c r="AB455">
        <f xml:space="preserve"> COUNTIF(Fact[[#This Row],[Partner.Partner Driven]], "Yes") / COUNTA(Fact[Opportunity ID])</f>
        <v>2.05761316872428E-3</v>
      </c>
      <c r="AC455">
        <f>IFERROR(INDEX(Fact[[#All],[Opportunity ID]],MATCH(X455,Fact[[#All],[salestage.Sales Stage]],0))/INDEX(Fact[[#All],[Opportunity ID]],MATCH(X454,Fact[[#All],[salestage.Sales Stage]],0)), "")</f>
        <v>1</v>
      </c>
    </row>
    <row r="456" spans="1:29" x14ac:dyDescent="0.3">
      <c r="A456" s="1">
        <v>42369.457638888889</v>
      </c>
      <c r="B456">
        <v>455</v>
      </c>
      <c r="C456">
        <v>1</v>
      </c>
      <c r="D456">
        <v>54</v>
      </c>
      <c r="E456">
        <v>8</v>
      </c>
      <c r="F456">
        <v>15</v>
      </c>
      <c r="G456">
        <v>7337198</v>
      </c>
      <c r="H456" s="5">
        <v>733720</v>
      </c>
      <c r="I456" s="1">
        <v>8</v>
      </c>
      <c r="J456">
        <v>418</v>
      </c>
      <c r="K456">
        <v>2015</v>
      </c>
      <c r="L456">
        <v>12</v>
      </c>
      <c r="M456" t="s">
        <v>508</v>
      </c>
      <c r="N456" t="s">
        <v>3</v>
      </c>
      <c r="O456" t="s">
        <v>914</v>
      </c>
      <c r="P456">
        <v>398</v>
      </c>
      <c r="Q456">
        <v>3</v>
      </c>
      <c r="R456" t="s">
        <v>9</v>
      </c>
      <c r="S456" t="s">
        <v>3</v>
      </c>
      <c r="T456" t="s">
        <v>184</v>
      </c>
      <c r="U456" t="s">
        <v>526</v>
      </c>
      <c r="V456" t="s">
        <v>72</v>
      </c>
      <c r="W456">
        <v>0.1</v>
      </c>
      <c r="X456" t="s">
        <v>195</v>
      </c>
      <c r="Y456" t="s">
        <v>205</v>
      </c>
      <c r="Z456" t="s">
        <v>3</v>
      </c>
      <c r="AA456" t="s">
        <v>9</v>
      </c>
      <c r="AB456">
        <f xml:space="preserve"> COUNTIF(Fact[[#This Row],[Partner.Partner Driven]], "Yes") / COUNTA(Fact[Opportunity ID])</f>
        <v>2.05761316872428E-3</v>
      </c>
      <c r="AC456">
        <f>IFERROR(INDEX(Fact[[#All],[Opportunity ID]],MATCH(X456,Fact[[#All],[salestage.Sales Stage]],0))/INDEX(Fact[[#All],[Opportunity ID]],MATCH(X455,Fact[[#All],[salestage.Sales Stage]],0)), "")</f>
        <v>1</v>
      </c>
    </row>
    <row r="457" spans="1:29" x14ac:dyDescent="0.3">
      <c r="A457" s="1">
        <v>42247.457638888889</v>
      </c>
      <c r="B457">
        <v>456</v>
      </c>
      <c r="C457">
        <v>2</v>
      </c>
      <c r="D457">
        <v>215</v>
      </c>
      <c r="E457">
        <v>8</v>
      </c>
      <c r="F457">
        <v>5</v>
      </c>
      <c r="G457">
        <v>8054791</v>
      </c>
      <c r="H457" s="5">
        <v>1610958</v>
      </c>
      <c r="I457" s="1">
        <v>8</v>
      </c>
      <c r="J457">
        <v>449</v>
      </c>
      <c r="K457">
        <v>2015</v>
      </c>
      <c r="L457">
        <v>8</v>
      </c>
      <c r="M457" t="s">
        <v>513</v>
      </c>
      <c r="N457" t="s">
        <v>13</v>
      </c>
      <c r="O457" t="s">
        <v>915</v>
      </c>
      <c r="P457">
        <v>416</v>
      </c>
      <c r="Q457">
        <v>3</v>
      </c>
      <c r="R457" t="s">
        <v>9</v>
      </c>
      <c r="S457" t="s">
        <v>13</v>
      </c>
      <c r="T457" t="s">
        <v>174</v>
      </c>
      <c r="U457" t="s">
        <v>526</v>
      </c>
      <c r="V457" t="s">
        <v>72</v>
      </c>
      <c r="W457">
        <v>0.2</v>
      </c>
      <c r="X457" t="s">
        <v>196</v>
      </c>
      <c r="Y457" t="s">
        <v>366</v>
      </c>
      <c r="Z457" t="s">
        <v>8</v>
      </c>
      <c r="AA457" t="s">
        <v>9</v>
      </c>
      <c r="AB457">
        <f xml:space="preserve"> COUNTIF(Fact[[#This Row],[Partner.Partner Driven]], "Yes") / COUNTA(Fact[Opportunity ID])</f>
        <v>2.05761316872428E-3</v>
      </c>
      <c r="AC457">
        <f>IFERROR(INDEX(Fact[[#All],[Opportunity ID]],MATCH(X457,Fact[[#All],[salestage.Sales Stage]],0))/INDEX(Fact[[#All],[Opportunity ID]],MATCH(X456,Fact[[#All],[salestage.Sales Stage]],0)), "")</f>
        <v>0.5</v>
      </c>
    </row>
    <row r="458" spans="1:29" x14ac:dyDescent="0.3">
      <c r="A458" s="1">
        <v>42308.457638888889</v>
      </c>
      <c r="B458">
        <v>457</v>
      </c>
      <c r="C458">
        <v>1</v>
      </c>
      <c r="D458">
        <v>54</v>
      </c>
      <c r="E458">
        <v>8</v>
      </c>
      <c r="F458">
        <v>1</v>
      </c>
      <c r="G458">
        <v>1353549</v>
      </c>
      <c r="H458" s="5">
        <v>135355</v>
      </c>
      <c r="I458" s="1">
        <v>23</v>
      </c>
      <c r="J458">
        <v>465</v>
      </c>
      <c r="K458">
        <v>2015</v>
      </c>
      <c r="L458">
        <v>10</v>
      </c>
      <c r="M458" t="s">
        <v>505</v>
      </c>
      <c r="N458" t="s">
        <v>3</v>
      </c>
      <c r="O458" t="s">
        <v>916</v>
      </c>
      <c r="P458">
        <v>90</v>
      </c>
      <c r="Q458">
        <v>1</v>
      </c>
      <c r="R458" t="s">
        <v>138</v>
      </c>
      <c r="S458" t="s">
        <v>3</v>
      </c>
      <c r="T458" t="s">
        <v>170</v>
      </c>
      <c r="U458" t="s">
        <v>526</v>
      </c>
      <c r="V458" t="s">
        <v>72</v>
      </c>
      <c r="W458">
        <v>0.1</v>
      </c>
      <c r="X458" t="s">
        <v>195</v>
      </c>
      <c r="Y458" t="s">
        <v>205</v>
      </c>
      <c r="Z458" t="s">
        <v>3</v>
      </c>
      <c r="AA458" t="s">
        <v>9</v>
      </c>
      <c r="AB458">
        <f xml:space="preserve"> COUNTIF(Fact[[#This Row],[Partner.Partner Driven]], "Yes") / COUNTA(Fact[Opportunity ID])</f>
        <v>2.05761316872428E-3</v>
      </c>
      <c r="AC458">
        <f>IFERROR(INDEX(Fact[[#All],[Opportunity ID]],MATCH(X458,Fact[[#All],[salestage.Sales Stage]],0))/INDEX(Fact[[#All],[Opportunity ID]],MATCH(X457,Fact[[#All],[salestage.Sales Stage]],0)), "")</f>
        <v>2</v>
      </c>
    </row>
    <row r="459" spans="1:29" x14ac:dyDescent="0.3">
      <c r="A459" s="1">
        <v>42308.457638888889</v>
      </c>
      <c r="B459">
        <v>458</v>
      </c>
      <c r="C459">
        <v>1</v>
      </c>
      <c r="D459">
        <v>54</v>
      </c>
      <c r="E459">
        <v>8</v>
      </c>
      <c r="F459">
        <v>5</v>
      </c>
      <c r="G459">
        <v>305329</v>
      </c>
      <c r="H459" s="5">
        <v>30533</v>
      </c>
      <c r="I459" s="1">
        <v>14</v>
      </c>
      <c r="J459">
        <v>504</v>
      </c>
      <c r="K459">
        <v>2015</v>
      </c>
      <c r="L459">
        <v>10</v>
      </c>
      <c r="M459" t="s">
        <v>505</v>
      </c>
      <c r="N459" t="s">
        <v>3</v>
      </c>
      <c r="O459" t="s">
        <v>917</v>
      </c>
      <c r="P459">
        <v>29</v>
      </c>
      <c r="Q459">
        <v>1</v>
      </c>
      <c r="R459" t="s">
        <v>138</v>
      </c>
      <c r="S459" t="s">
        <v>3</v>
      </c>
      <c r="T459" t="s">
        <v>174</v>
      </c>
      <c r="U459" t="s">
        <v>526</v>
      </c>
      <c r="V459" t="s">
        <v>72</v>
      </c>
      <c r="W459">
        <v>0.1</v>
      </c>
      <c r="X459" t="s">
        <v>195</v>
      </c>
      <c r="Y459" t="s">
        <v>205</v>
      </c>
      <c r="Z459" t="s">
        <v>3</v>
      </c>
      <c r="AA459" t="s">
        <v>9</v>
      </c>
      <c r="AB459">
        <f xml:space="preserve"> COUNTIF(Fact[[#This Row],[Partner.Partner Driven]], "Yes") / COUNTA(Fact[Opportunity ID])</f>
        <v>2.05761316872428E-3</v>
      </c>
      <c r="AC459">
        <f>IFERROR(INDEX(Fact[[#All],[Opportunity ID]],MATCH(X459,Fact[[#All],[salestage.Sales Stage]],0))/INDEX(Fact[[#All],[Opportunity ID]],MATCH(X458,Fact[[#All],[salestage.Sales Stage]],0)), "")</f>
        <v>1</v>
      </c>
    </row>
    <row r="460" spans="1:29" x14ac:dyDescent="0.3">
      <c r="A460" s="1">
        <v>42369.457638888889</v>
      </c>
      <c r="B460">
        <v>459</v>
      </c>
      <c r="C460">
        <v>1</v>
      </c>
      <c r="D460">
        <v>217</v>
      </c>
      <c r="E460">
        <v>8</v>
      </c>
      <c r="F460">
        <v>9</v>
      </c>
      <c r="G460">
        <v>1942288</v>
      </c>
      <c r="H460" s="5">
        <v>194229</v>
      </c>
      <c r="I460" s="1">
        <v>16</v>
      </c>
      <c r="J460">
        <v>594</v>
      </c>
      <c r="K460">
        <v>2015</v>
      </c>
      <c r="L460">
        <v>12</v>
      </c>
      <c r="M460" t="s">
        <v>508</v>
      </c>
      <c r="N460" t="s">
        <v>13</v>
      </c>
      <c r="O460" t="s">
        <v>918</v>
      </c>
      <c r="P460">
        <v>132</v>
      </c>
      <c r="Q460">
        <v>1</v>
      </c>
      <c r="R460" t="s">
        <v>138</v>
      </c>
      <c r="S460" t="s">
        <v>13</v>
      </c>
      <c r="T460" t="s">
        <v>178</v>
      </c>
      <c r="U460" t="s">
        <v>526</v>
      </c>
      <c r="V460" t="s">
        <v>72</v>
      </c>
      <c r="W460">
        <v>0.1</v>
      </c>
      <c r="X460" t="s">
        <v>195</v>
      </c>
      <c r="Y460" t="s">
        <v>368</v>
      </c>
      <c r="Z460" t="s">
        <v>13</v>
      </c>
      <c r="AA460" t="s">
        <v>9</v>
      </c>
      <c r="AB460">
        <f xml:space="preserve"> COUNTIF(Fact[[#This Row],[Partner.Partner Driven]], "Yes") / COUNTA(Fact[Opportunity ID])</f>
        <v>2.05761316872428E-3</v>
      </c>
      <c r="AC460">
        <f>IFERROR(INDEX(Fact[[#All],[Opportunity ID]],MATCH(X460,Fact[[#All],[salestage.Sales Stage]],0))/INDEX(Fact[[#All],[Opportunity ID]],MATCH(X459,Fact[[#All],[salestage.Sales Stage]],0)), "")</f>
        <v>1</v>
      </c>
    </row>
    <row r="461" spans="1:29" x14ac:dyDescent="0.3">
      <c r="A461" s="1">
        <v>42308.457638888889</v>
      </c>
      <c r="B461">
        <v>460</v>
      </c>
      <c r="C461">
        <v>1</v>
      </c>
      <c r="D461">
        <v>70</v>
      </c>
      <c r="E461">
        <v>8</v>
      </c>
      <c r="F461">
        <v>6</v>
      </c>
      <c r="G461">
        <v>8473963</v>
      </c>
      <c r="H461" s="5">
        <v>847396</v>
      </c>
      <c r="I461" s="1">
        <v>13</v>
      </c>
      <c r="J461">
        <v>597</v>
      </c>
      <c r="K461">
        <v>2015</v>
      </c>
      <c r="L461">
        <v>10</v>
      </c>
      <c r="M461" t="s">
        <v>505</v>
      </c>
      <c r="N461" t="s">
        <v>3</v>
      </c>
      <c r="O461" t="s">
        <v>920</v>
      </c>
      <c r="P461">
        <v>427</v>
      </c>
      <c r="Q461">
        <v>3</v>
      </c>
      <c r="R461" t="s">
        <v>9</v>
      </c>
      <c r="S461" t="s">
        <v>3</v>
      </c>
      <c r="T461" t="s">
        <v>175</v>
      </c>
      <c r="U461" t="s">
        <v>526</v>
      </c>
      <c r="V461" t="s">
        <v>72</v>
      </c>
      <c r="W461">
        <v>0.1</v>
      </c>
      <c r="X461" t="s">
        <v>195</v>
      </c>
      <c r="Y461" t="s">
        <v>221</v>
      </c>
      <c r="Z461" t="s">
        <v>8</v>
      </c>
      <c r="AA461" t="s">
        <v>9</v>
      </c>
      <c r="AB461">
        <f xml:space="preserve"> COUNTIF(Fact[[#This Row],[Partner.Partner Driven]], "Yes") / COUNTA(Fact[Opportunity ID])</f>
        <v>2.05761316872428E-3</v>
      </c>
      <c r="AC461">
        <f>IFERROR(INDEX(Fact[[#All],[Opportunity ID]],MATCH(X461,Fact[[#All],[salestage.Sales Stage]],0))/INDEX(Fact[[#All],[Opportunity ID]],MATCH(X460,Fact[[#All],[salestage.Sales Stage]],0)), "")</f>
        <v>1</v>
      </c>
    </row>
    <row r="462" spans="1:29" x14ac:dyDescent="0.3">
      <c r="A462" s="1">
        <v>42308.457638888889</v>
      </c>
      <c r="B462">
        <v>461</v>
      </c>
      <c r="C462">
        <v>1</v>
      </c>
      <c r="D462">
        <v>3</v>
      </c>
      <c r="E462">
        <v>8</v>
      </c>
      <c r="F462">
        <v>15</v>
      </c>
      <c r="G462">
        <v>6329746</v>
      </c>
      <c r="H462" s="5">
        <v>632975</v>
      </c>
      <c r="I462" s="1">
        <v>29</v>
      </c>
      <c r="J462">
        <v>397</v>
      </c>
      <c r="K462">
        <v>2015</v>
      </c>
      <c r="L462">
        <v>10</v>
      </c>
      <c r="M462" t="s">
        <v>505</v>
      </c>
      <c r="N462" t="s">
        <v>3</v>
      </c>
      <c r="O462" t="s">
        <v>921</v>
      </c>
      <c r="P462">
        <v>359</v>
      </c>
      <c r="Q462">
        <v>3</v>
      </c>
      <c r="R462" t="s">
        <v>9</v>
      </c>
      <c r="S462" t="s">
        <v>3</v>
      </c>
      <c r="T462" t="s">
        <v>184</v>
      </c>
      <c r="U462" t="s">
        <v>526</v>
      </c>
      <c r="V462" t="s">
        <v>72</v>
      </c>
      <c r="W462">
        <v>0.1</v>
      </c>
      <c r="X462" t="s">
        <v>195</v>
      </c>
      <c r="Y462" t="s">
        <v>7</v>
      </c>
      <c r="Z462" t="s">
        <v>8</v>
      </c>
      <c r="AA462" t="s">
        <v>9</v>
      </c>
      <c r="AB462">
        <f xml:space="preserve"> COUNTIF(Fact[[#This Row],[Partner.Partner Driven]], "Yes") / COUNTA(Fact[Opportunity ID])</f>
        <v>2.05761316872428E-3</v>
      </c>
      <c r="AC462">
        <f>IFERROR(INDEX(Fact[[#All],[Opportunity ID]],MATCH(X462,Fact[[#All],[salestage.Sales Stage]],0))/INDEX(Fact[[#All],[Opportunity ID]],MATCH(X461,Fact[[#All],[salestage.Sales Stage]],0)), "")</f>
        <v>1</v>
      </c>
    </row>
    <row r="463" spans="1:29" x14ac:dyDescent="0.3">
      <c r="A463" s="1">
        <v>42308.457638888889</v>
      </c>
      <c r="B463">
        <v>462</v>
      </c>
      <c r="C463">
        <v>1</v>
      </c>
      <c r="D463">
        <v>347</v>
      </c>
      <c r="E463">
        <v>8</v>
      </c>
      <c r="F463">
        <v>23</v>
      </c>
      <c r="G463">
        <v>4716033</v>
      </c>
      <c r="H463" s="5">
        <v>471603</v>
      </c>
      <c r="I463" s="1">
        <v>14</v>
      </c>
      <c r="J463">
        <v>624</v>
      </c>
      <c r="K463">
        <v>2015</v>
      </c>
      <c r="L463">
        <v>10</v>
      </c>
      <c r="M463" t="s">
        <v>505</v>
      </c>
      <c r="N463" t="s">
        <v>8</v>
      </c>
      <c r="O463" t="s">
        <v>922</v>
      </c>
      <c r="P463">
        <v>278</v>
      </c>
      <c r="Q463">
        <v>2</v>
      </c>
      <c r="R463" t="s">
        <v>143</v>
      </c>
      <c r="S463" t="s">
        <v>8</v>
      </c>
      <c r="T463" t="s">
        <v>192</v>
      </c>
      <c r="U463" t="s">
        <v>526</v>
      </c>
      <c r="V463" t="s">
        <v>72</v>
      </c>
      <c r="W463">
        <v>0.1</v>
      </c>
      <c r="X463" t="s">
        <v>195</v>
      </c>
      <c r="Y463" t="s">
        <v>496</v>
      </c>
      <c r="Z463" t="s">
        <v>3</v>
      </c>
      <c r="AA463" t="s">
        <v>9</v>
      </c>
      <c r="AB463">
        <f xml:space="preserve"> COUNTIF(Fact[[#This Row],[Partner.Partner Driven]], "Yes") / COUNTA(Fact[Opportunity ID])</f>
        <v>2.05761316872428E-3</v>
      </c>
      <c r="AC463">
        <f>IFERROR(INDEX(Fact[[#All],[Opportunity ID]],MATCH(X463,Fact[[#All],[salestage.Sales Stage]],0))/INDEX(Fact[[#All],[Opportunity ID]],MATCH(X462,Fact[[#All],[salestage.Sales Stage]],0)), "")</f>
        <v>1</v>
      </c>
    </row>
    <row r="464" spans="1:29" x14ac:dyDescent="0.3">
      <c r="A464" s="1">
        <v>42369.457638888889</v>
      </c>
      <c r="B464">
        <v>463</v>
      </c>
      <c r="C464">
        <v>1</v>
      </c>
      <c r="D464">
        <v>193</v>
      </c>
      <c r="E464">
        <v>8</v>
      </c>
      <c r="F464">
        <v>13</v>
      </c>
      <c r="G464">
        <v>8003726</v>
      </c>
      <c r="H464" s="5">
        <v>800373</v>
      </c>
      <c r="I464" s="1">
        <v>5</v>
      </c>
      <c r="J464">
        <v>421</v>
      </c>
      <c r="K464">
        <v>2015</v>
      </c>
      <c r="L464">
        <v>12</v>
      </c>
      <c r="M464" t="s">
        <v>508</v>
      </c>
      <c r="N464" t="s">
        <v>8</v>
      </c>
      <c r="O464" t="s">
        <v>923</v>
      </c>
      <c r="P464">
        <v>414</v>
      </c>
      <c r="Q464">
        <v>3</v>
      </c>
      <c r="R464" t="s">
        <v>9</v>
      </c>
      <c r="S464" t="s">
        <v>8</v>
      </c>
      <c r="T464" t="s">
        <v>182</v>
      </c>
      <c r="U464" t="s">
        <v>526</v>
      </c>
      <c r="V464" t="s">
        <v>72</v>
      </c>
      <c r="W464">
        <v>0.1</v>
      </c>
      <c r="X464" t="s">
        <v>195</v>
      </c>
      <c r="Y464" t="s">
        <v>344</v>
      </c>
      <c r="Z464" t="s">
        <v>8</v>
      </c>
      <c r="AA464" t="s">
        <v>4</v>
      </c>
      <c r="AB464">
        <f xml:space="preserve"> COUNTIF(Fact[[#This Row],[Partner.Partner Driven]], "Yes") / COUNTA(Fact[Opportunity ID])</f>
        <v>2.05761316872428E-3</v>
      </c>
      <c r="AC464">
        <f>IFERROR(INDEX(Fact[[#All],[Opportunity ID]],MATCH(X464,Fact[[#All],[salestage.Sales Stage]],0))/INDEX(Fact[[#All],[Opportunity ID]],MATCH(X463,Fact[[#All],[salestage.Sales Stage]],0)), "")</f>
        <v>1</v>
      </c>
    </row>
    <row r="465" spans="1:29" x14ac:dyDescent="0.3">
      <c r="A465" s="1">
        <v>42369.457638888889</v>
      </c>
      <c r="B465">
        <v>464</v>
      </c>
      <c r="C465">
        <v>1</v>
      </c>
      <c r="D465">
        <v>113</v>
      </c>
      <c r="E465">
        <v>8</v>
      </c>
      <c r="F465">
        <v>9</v>
      </c>
      <c r="G465">
        <v>1901171</v>
      </c>
      <c r="H465" s="5">
        <v>190117</v>
      </c>
      <c r="I465" s="1">
        <v>21</v>
      </c>
      <c r="J465">
        <v>589</v>
      </c>
      <c r="K465">
        <v>2015</v>
      </c>
      <c r="L465">
        <v>12</v>
      </c>
      <c r="M465" t="s">
        <v>508</v>
      </c>
      <c r="N465" t="s">
        <v>3</v>
      </c>
      <c r="O465" t="s">
        <v>924</v>
      </c>
      <c r="P465">
        <v>129</v>
      </c>
      <c r="Q465">
        <v>1</v>
      </c>
      <c r="R465" t="s">
        <v>138</v>
      </c>
      <c r="S465" t="s">
        <v>3</v>
      </c>
      <c r="T465" t="s">
        <v>178</v>
      </c>
      <c r="U465" t="s">
        <v>526</v>
      </c>
      <c r="V465" t="s">
        <v>72</v>
      </c>
      <c r="W465">
        <v>0.1</v>
      </c>
      <c r="X465" t="s">
        <v>195</v>
      </c>
      <c r="Y465" t="s">
        <v>264</v>
      </c>
      <c r="Z465" t="s">
        <v>8</v>
      </c>
      <c r="AA465" t="s">
        <v>4</v>
      </c>
      <c r="AB465">
        <f xml:space="preserve"> COUNTIF(Fact[[#This Row],[Partner.Partner Driven]], "Yes") / COUNTA(Fact[Opportunity ID])</f>
        <v>2.05761316872428E-3</v>
      </c>
      <c r="AC465">
        <f>IFERROR(INDEX(Fact[[#All],[Opportunity ID]],MATCH(X465,Fact[[#All],[salestage.Sales Stage]],0))/INDEX(Fact[[#All],[Opportunity ID]],MATCH(X464,Fact[[#All],[salestage.Sales Stage]],0)), "")</f>
        <v>1</v>
      </c>
    </row>
    <row r="466" spans="1:29" x14ac:dyDescent="0.3">
      <c r="A466" s="1">
        <v>42153.457638888889</v>
      </c>
      <c r="B466">
        <v>465</v>
      </c>
      <c r="C466">
        <v>1</v>
      </c>
      <c r="D466">
        <v>348</v>
      </c>
      <c r="E466">
        <v>22</v>
      </c>
      <c r="F466">
        <v>15</v>
      </c>
      <c r="G466">
        <v>1422696</v>
      </c>
      <c r="H466" s="5">
        <v>142270</v>
      </c>
      <c r="I466" s="1">
        <v>7</v>
      </c>
      <c r="J466">
        <v>387</v>
      </c>
      <c r="K466">
        <v>2015</v>
      </c>
      <c r="L466">
        <v>5</v>
      </c>
      <c r="M466" t="s">
        <v>68</v>
      </c>
      <c r="N466" t="s">
        <v>3</v>
      </c>
      <c r="O466" t="s">
        <v>925</v>
      </c>
      <c r="P466">
        <v>94</v>
      </c>
      <c r="Q466">
        <v>1</v>
      </c>
      <c r="R466" t="s">
        <v>138</v>
      </c>
      <c r="S466" t="s">
        <v>3</v>
      </c>
      <c r="T466" t="s">
        <v>184</v>
      </c>
      <c r="U466" t="s">
        <v>84</v>
      </c>
      <c r="V466" t="s">
        <v>85</v>
      </c>
      <c r="W466">
        <v>0.1</v>
      </c>
      <c r="X466" t="s">
        <v>195</v>
      </c>
      <c r="Y466" t="s">
        <v>497</v>
      </c>
      <c r="Z466" t="s">
        <v>13</v>
      </c>
      <c r="AA466" t="s">
        <v>9</v>
      </c>
      <c r="AB466">
        <f xml:space="preserve"> COUNTIF(Fact[[#This Row],[Partner.Partner Driven]], "Yes") / COUNTA(Fact[Opportunity ID])</f>
        <v>0</v>
      </c>
      <c r="AC466">
        <f>IFERROR(INDEX(Fact[[#All],[Opportunity ID]],MATCH(X466,Fact[[#All],[salestage.Sales Stage]],0))/INDEX(Fact[[#All],[Opportunity ID]],MATCH(X465,Fact[[#All],[salestage.Sales Stage]],0)), "")</f>
        <v>1</v>
      </c>
    </row>
    <row r="467" spans="1:29" x14ac:dyDescent="0.3">
      <c r="A467" s="1">
        <v>42034.457638888889</v>
      </c>
      <c r="B467">
        <v>466</v>
      </c>
      <c r="C467">
        <v>4</v>
      </c>
      <c r="D467">
        <v>349</v>
      </c>
      <c r="E467">
        <v>98</v>
      </c>
      <c r="F467">
        <v>6</v>
      </c>
      <c r="G467">
        <v>9071841</v>
      </c>
      <c r="H467" s="5">
        <v>5443105</v>
      </c>
      <c r="I467" s="1">
        <v>12</v>
      </c>
      <c r="J467">
        <v>383</v>
      </c>
      <c r="K467">
        <v>2015</v>
      </c>
      <c r="L467">
        <v>1</v>
      </c>
      <c r="M467" t="s">
        <v>511</v>
      </c>
      <c r="N467" t="s">
        <v>3</v>
      </c>
      <c r="O467" t="s">
        <v>926</v>
      </c>
      <c r="P467">
        <v>443</v>
      </c>
      <c r="Q467">
        <v>3</v>
      </c>
      <c r="R467" t="s">
        <v>9</v>
      </c>
      <c r="S467" t="s">
        <v>3</v>
      </c>
      <c r="T467" t="s">
        <v>175</v>
      </c>
      <c r="U467" t="s">
        <v>127</v>
      </c>
      <c r="V467" t="s">
        <v>72</v>
      </c>
      <c r="W467">
        <v>0.6</v>
      </c>
      <c r="X467" t="s">
        <v>198</v>
      </c>
      <c r="Y467" t="s">
        <v>498</v>
      </c>
      <c r="Z467" t="s">
        <v>8</v>
      </c>
      <c r="AA467" t="s">
        <v>9</v>
      </c>
      <c r="AB467">
        <f xml:space="preserve"> COUNTIF(Fact[[#This Row],[Partner.Partner Driven]], "Yes") / COUNTA(Fact[Opportunity ID])</f>
        <v>2.05761316872428E-3</v>
      </c>
      <c r="AC467">
        <f>IFERROR(INDEX(Fact[[#All],[Opportunity ID]],MATCH(X467,Fact[[#All],[salestage.Sales Stage]],0))/INDEX(Fact[[#All],[Opportunity ID]],MATCH(X466,Fact[[#All],[salestage.Sales Stage]],0)), "")</f>
        <v>14</v>
      </c>
    </row>
    <row r="468" spans="1:29" x14ac:dyDescent="0.3">
      <c r="A468" s="1">
        <v>42369.457638888889</v>
      </c>
      <c r="B468">
        <v>467</v>
      </c>
      <c r="C468">
        <v>1</v>
      </c>
      <c r="D468">
        <v>191</v>
      </c>
      <c r="E468">
        <v>8</v>
      </c>
      <c r="F468">
        <v>11</v>
      </c>
      <c r="G468">
        <v>11529542</v>
      </c>
      <c r="H468" s="5">
        <v>1152954</v>
      </c>
      <c r="I468" s="1">
        <v>8</v>
      </c>
      <c r="J468">
        <v>722</v>
      </c>
      <c r="K468">
        <v>2015</v>
      </c>
      <c r="L468">
        <v>12</v>
      </c>
      <c r="M468" t="s">
        <v>508</v>
      </c>
      <c r="N468" t="s">
        <v>13</v>
      </c>
      <c r="O468" t="s">
        <v>927</v>
      </c>
      <c r="P468">
        <v>480</v>
      </c>
      <c r="Q468">
        <v>3</v>
      </c>
      <c r="R468" t="s">
        <v>9</v>
      </c>
      <c r="S468" t="s">
        <v>13</v>
      </c>
      <c r="T468" t="s">
        <v>180</v>
      </c>
      <c r="U468" t="s">
        <v>526</v>
      </c>
      <c r="V468" t="s">
        <v>72</v>
      </c>
      <c r="W468">
        <v>0.1</v>
      </c>
      <c r="X468" t="s">
        <v>195</v>
      </c>
      <c r="Y468" t="s">
        <v>342</v>
      </c>
      <c r="Z468" t="s">
        <v>3</v>
      </c>
      <c r="AA468" t="s">
        <v>9</v>
      </c>
      <c r="AB468">
        <f xml:space="preserve"> COUNTIF(Fact[[#This Row],[Partner.Partner Driven]], "Yes") / COUNTA(Fact[Opportunity ID])</f>
        <v>2.05761316872428E-3</v>
      </c>
      <c r="AC468">
        <f>IFERROR(INDEX(Fact[[#All],[Opportunity ID]],MATCH(X468,Fact[[#All],[salestage.Sales Stage]],0))/INDEX(Fact[[#All],[Opportunity ID]],MATCH(X467,Fact[[#All],[salestage.Sales Stage]],0)), "")</f>
        <v>7.1428571428571425E-2</v>
      </c>
    </row>
    <row r="469" spans="1:29" x14ac:dyDescent="0.3">
      <c r="A469" s="1">
        <v>42146.457638888889</v>
      </c>
      <c r="B469">
        <v>468</v>
      </c>
      <c r="C469">
        <v>3</v>
      </c>
      <c r="D469">
        <v>350</v>
      </c>
      <c r="E469">
        <v>22</v>
      </c>
      <c r="F469">
        <v>25</v>
      </c>
      <c r="G469">
        <v>2401584</v>
      </c>
      <c r="H469" s="5">
        <v>960634</v>
      </c>
      <c r="I469" s="1">
        <v>21</v>
      </c>
      <c r="J469">
        <v>486</v>
      </c>
      <c r="K469">
        <v>2015</v>
      </c>
      <c r="L469">
        <v>5</v>
      </c>
      <c r="M469" t="s">
        <v>68</v>
      </c>
      <c r="N469" t="s">
        <v>3</v>
      </c>
      <c r="O469" t="s">
        <v>928</v>
      </c>
      <c r="P469">
        <v>160</v>
      </c>
      <c r="Q469">
        <v>1</v>
      </c>
      <c r="R469" t="s">
        <v>138</v>
      </c>
      <c r="S469" t="s">
        <v>3</v>
      </c>
      <c r="T469" t="s">
        <v>194</v>
      </c>
      <c r="U469" t="s">
        <v>84</v>
      </c>
      <c r="V469" t="s">
        <v>85</v>
      </c>
      <c r="W469">
        <v>0.4</v>
      </c>
      <c r="X469" t="s">
        <v>197</v>
      </c>
      <c r="Y469" t="s">
        <v>499</v>
      </c>
      <c r="Z469" t="s">
        <v>13</v>
      </c>
      <c r="AA469" t="s">
        <v>4</v>
      </c>
      <c r="AB469">
        <f xml:space="preserve"> COUNTIF(Fact[[#This Row],[Partner.Partner Driven]], "Yes") / COUNTA(Fact[Opportunity ID])</f>
        <v>0</v>
      </c>
      <c r="AC469">
        <f>IFERROR(INDEX(Fact[[#All],[Opportunity ID]],MATCH(X469,Fact[[#All],[salestage.Sales Stage]],0))/INDEX(Fact[[#All],[Opportunity ID]],MATCH(X468,Fact[[#All],[salestage.Sales Stage]],0)), "")</f>
        <v>4.5</v>
      </c>
    </row>
    <row r="470" spans="1:29" x14ac:dyDescent="0.3">
      <c r="A470" s="1">
        <v>42216.291666666664</v>
      </c>
      <c r="B470">
        <v>469</v>
      </c>
      <c r="C470">
        <v>1</v>
      </c>
      <c r="D470">
        <v>209</v>
      </c>
      <c r="E470">
        <v>69</v>
      </c>
      <c r="F470">
        <v>21</v>
      </c>
      <c r="G470">
        <v>7940991</v>
      </c>
      <c r="H470" s="5">
        <v>794099</v>
      </c>
      <c r="I470" s="1">
        <v>29</v>
      </c>
      <c r="J470">
        <v>367</v>
      </c>
      <c r="K470">
        <v>2015</v>
      </c>
      <c r="L470">
        <v>7</v>
      </c>
      <c r="M470" t="s">
        <v>69</v>
      </c>
      <c r="N470" t="s">
        <v>13</v>
      </c>
      <c r="O470" t="s">
        <v>929</v>
      </c>
      <c r="P470">
        <v>412</v>
      </c>
      <c r="Q470">
        <v>3</v>
      </c>
      <c r="R470" t="s">
        <v>9</v>
      </c>
      <c r="S470" t="s">
        <v>13</v>
      </c>
      <c r="T470" t="s">
        <v>190</v>
      </c>
      <c r="U470" t="s">
        <v>535</v>
      </c>
      <c r="V470" t="s">
        <v>72</v>
      </c>
      <c r="W470">
        <v>0.1</v>
      </c>
      <c r="X470" t="s">
        <v>195</v>
      </c>
      <c r="Y470" t="s">
        <v>360</v>
      </c>
      <c r="Z470" t="s">
        <v>13</v>
      </c>
      <c r="AA470" t="s">
        <v>9</v>
      </c>
      <c r="AB470">
        <f xml:space="preserve"> COUNTIF(Fact[[#This Row],[Partner.Partner Driven]], "Yes") / COUNTA(Fact[Opportunity ID])</f>
        <v>2.05761316872428E-3</v>
      </c>
      <c r="AC470">
        <f>IFERROR(INDEX(Fact[[#All],[Opportunity ID]],MATCH(X470,Fact[[#All],[salestage.Sales Stage]],0))/INDEX(Fact[[#All],[Opportunity ID]],MATCH(X469,Fact[[#All],[salestage.Sales Stage]],0)), "")</f>
        <v>0.22222222222222221</v>
      </c>
    </row>
    <row r="471" spans="1:29" x14ac:dyDescent="0.3">
      <c r="A471" s="1">
        <v>42216.333333333336</v>
      </c>
      <c r="B471">
        <v>470</v>
      </c>
      <c r="C471">
        <v>3</v>
      </c>
      <c r="D471">
        <v>77</v>
      </c>
      <c r="E471">
        <v>99</v>
      </c>
      <c r="F471">
        <v>6</v>
      </c>
      <c r="G471">
        <v>6680608</v>
      </c>
      <c r="H471" s="5">
        <v>2672243</v>
      </c>
      <c r="I471" s="1">
        <v>17</v>
      </c>
      <c r="J471">
        <v>560</v>
      </c>
      <c r="K471">
        <v>2015</v>
      </c>
      <c r="L471">
        <v>7</v>
      </c>
      <c r="M471" t="s">
        <v>69</v>
      </c>
      <c r="N471" t="s">
        <v>13</v>
      </c>
      <c r="O471" t="s">
        <v>931</v>
      </c>
      <c r="P471">
        <v>373</v>
      </c>
      <c r="Q471">
        <v>3</v>
      </c>
      <c r="R471" t="s">
        <v>9</v>
      </c>
      <c r="S471" t="s">
        <v>13</v>
      </c>
      <c r="T471" t="s">
        <v>175</v>
      </c>
      <c r="U471" t="s">
        <v>101</v>
      </c>
      <c r="V471" t="s">
        <v>72</v>
      </c>
      <c r="W471">
        <v>0.4</v>
      </c>
      <c r="X471" t="s">
        <v>197</v>
      </c>
      <c r="Y471" t="s">
        <v>228</v>
      </c>
      <c r="Z471" t="s">
        <v>3</v>
      </c>
      <c r="AA471" t="s">
        <v>9</v>
      </c>
      <c r="AB471">
        <f xml:space="preserve"> COUNTIF(Fact[[#This Row],[Partner.Partner Driven]], "Yes") / COUNTA(Fact[Opportunity ID])</f>
        <v>2.05761316872428E-3</v>
      </c>
      <c r="AC471">
        <f>IFERROR(INDEX(Fact[[#All],[Opportunity ID]],MATCH(X471,Fact[[#All],[salestage.Sales Stage]],0))/INDEX(Fact[[#All],[Opportunity ID]],MATCH(X470,Fact[[#All],[salestage.Sales Stage]],0)), "")</f>
        <v>4.5</v>
      </c>
    </row>
    <row r="472" spans="1:29" x14ac:dyDescent="0.3">
      <c r="A472" s="1">
        <v>42308.457638888889</v>
      </c>
      <c r="B472">
        <v>471</v>
      </c>
      <c r="C472">
        <v>1</v>
      </c>
      <c r="D472">
        <v>351</v>
      </c>
      <c r="E472">
        <v>100</v>
      </c>
      <c r="F472">
        <v>19</v>
      </c>
      <c r="G472">
        <v>4082052</v>
      </c>
      <c r="H472" s="5">
        <v>408205</v>
      </c>
      <c r="I472" s="1">
        <v>1</v>
      </c>
      <c r="J472">
        <v>395</v>
      </c>
      <c r="K472">
        <v>2015</v>
      </c>
      <c r="L472">
        <v>10</v>
      </c>
      <c r="M472" t="s">
        <v>505</v>
      </c>
      <c r="N472" t="s">
        <v>3</v>
      </c>
      <c r="O472" t="s">
        <v>932</v>
      </c>
      <c r="P472">
        <v>249</v>
      </c>
      <c r="Q472">
        <v>2</v>
      </c>
      <c r="R472" t="s">
        <v>143</v>
      </c>
      <c r="S472" t="s">
        <v>3</v>
      </c>
      <c r="T472" t="s">
        <v>188</v>
      </c>
      <c r="U472" t="s">
        <v>536</v>
      </c>
      <c r="V472" t="s">
        <v>72</v>
      </c>
      <c r="W472">
        <v>0.1</v>
      </c>
      <c r="X472" t="s">
        <v>195</v>
      </c>
      <c r="Y472" t="s">
        <v>500</v>
      </c>
      <c r="Z472" t="s">
        <v>13</v>
      </c>
      <c r="AA472" t="s">
        <v>9</v>
      </c>
      <c r="AB472">
        <f xml:space="preserve"> COUNTIF(Fact[[#This Row],[Partner.Partner Driven]], "Yes") / COUNTA(Fact[Opportunity ID])</f>
        <v>2.05761316872428E-3</v>
      </c>
      <c r="AC472">
        <f>IFERROR(INDEX(Fact[[#All],[Opportunity ID]],MATCH(X472,Fact[[#All],[salestage.Sales Stage]],0))/INDEX(Fact[[#All],[Opportunity ID]],MATCH(X471,Fact[[#All],[salestage.Sales Stage]],0)), "")</f>
        <v>0.22222222222222221</v>
      </c>
    </row>
    <row r="473" spans="1:29" x14ac:dyDescent="0.3">
      <c r="A473" s="1">
        <v>42241.291666666664</v>
      </c>
      <c r="B473">
        <v>472</v>
      </c>
      <c r="C473">
        <v>2</v>
      </c>
      <c r="D473">
        <v>17</v>
      </c>
      <c r="E473">
        <v>8</v>
      </c>
      <c r="F473">
        <v>25</v>
      </c>
      <c r="G473">
        <v>7486925</v>
      </c>
      <c r="H473" s="5">
        <v>1497385</v>
      </c>
      <c r="I473" s="1">
        <v>17</v>
      </c>
      <c r="J473">
        <v>554</v>
      </c>
      <c r="K473">
        <v>2015</v>
      </c>
      <c r="L473">
        <v>8</v>
      </c>
      <c r="M473" t="s">
        <v>513</v>
      </c>
      <c r="N473" t="s">
        <v>8</v>
      </c>
      <c r="O473" t="s">
        <v>933</v>
      </c>
      <c r="P473">
        <v>400</v>
      </c>
      <c r="Q473">
        <v>3</v>
      </c>
      <c r="R473" t="s">
        <v>9</v>
      </c>
      <c r="S473" t="s">
        <v>8</v>
      </c>
      <c r="T473" t="s">
        <v>194</v>
      </c>
      <c r="U473" t="s">
        <v>526</v>
      </c>
      <c r="V473" t="s">
        <v>72</v>
      </c>
      <c r="W473">
        <v>0.2</v>
      </c>
      <c r="X473" t="s">
        <v>196</v>
      </c>
      <c r="Y473" t="s">
        <v>24</v>
      </c>
      <c r="Z473" t="s">
        <v>13</v>
      </c>
      <c r="AA473" t="s">
        <v>4</v>
      </c>
      <c r="AB473">
        <f xml:space="preserve"> COUNTIF(Fact[[#This Row],[Partner.Partner Driven]], "Yes") / COUNTA(Fact[Opportunity ID])</f>
        <v>2.05761316872428E-3</v>
      </c>
      <c r="AC473">
        <f>IFERROR(INDEX(Fact[[#All],[Opportunity ID]],MATCH(X473,Fact[[#All],[salestage.Sales Stage]],0))/INDEX(Fact[[#All],[Opportunity ID]],MATCH(X472,Fact[[#All],[salestage.Sales Stage]],0)), "")</f>
        <v>0.5</v>
      </c>
    </row>
    <row r="474" spans="1:29" x14ac:dyDescent="0.3">
      <c r="A474" s="1">
        <v>42338.457638888889</v>
      </c>
      <c r="B474">
        <v>473</v>
      </c>
      <c r="C474">
        <v>1</v>
      </c>
      <c r="D474">
        <v>352</v>
      </c>
      <c r="E474">
        <v>22</v>
      </c>
      <c r="F474">
        <v>19</v>
      </c>
      <c r="G474">
        <v>4001896</v>
      </c>
      <c r="H474" s="5">
        <v>400190</v>
      </c>
      <c r="I474" s="1">
        <v>30</v>
      </c>
      <c r="J474">
        <v>549</v>
      </c>
      <c r="K474">
        <v>2015</v>
      </c>
      <c r="L474">
        <v>11</v>
      </c>
      <c r="M474" t="s">
        <v>506</v>
      </c>
      <c r="N474" t="s">
        <v>13</v>
      </c>
      <c r="O474" t="s">
        <v>934</v>
      </c>
      <c r="P474">
        <v>242</v>
      </c>
      <c r="Q474">
        <v>2</v>
      </c>
      <c r="R474" t="s">
        <v>143</v>
      </c>
      <c r="S474" t="s">
        <v>13</v>
      </c>
      <c r="T474" t="s">
        <v>188</v>
      </c>
      <c r="U474" t="s">
        <v>84</v>
      </c>
      <c r="V474" t="s">
        <v>85</v>
      </c>
      <c r="W474">
        <v>0.1</v>
      </c>
      <c r="X474" t="s">
        <v>195</v>
      </c>
      <c r="Y474" t="s">
        <v>501</v>
      </c>
      <c r="Z474" t="s">
        <v>3</v>
      </c>
      <c r="AA474" t="s">
        <v>4</v>
      </c>
      <c r="AB474">
        <f xml:space="preserve"> COUNTIF(Fact[[#This Row],[Partner.Partner Driven]], "Yes") / COUNTA(Fact[Opportunity ID])</f>
        <v>0</v>
      </c>
      <c r="AC474">
        <f>IFERROR(INDEX(Fact[[#All],[Opportunity ID]],MATCH(X474,Fact[[#All],[salestage.Sales Stage]],0))/INDEX(Fact[[#All],[Opportunity ID]],MATCH(X473,Fact[[#All],[salestage.Sales Stage]],0)), "")</f>
        <v>2</v>
      </c>
    </row>
    <row r="475" spans="1:29" x14ac:dyDescent="0.3">
      <c r="A475" s="1">
        <v>42013.457638888889</v>
      </c>
      <c r="B475">
        <v>474</v>
      </c>
      <c r="C475">
        <v>3</v>
      </c>
      <c r="D475">
        <v>177</v>
      </c>
      <c r="E475">
        <v>22</v>
      </c>
      <c r="F475">
        <v>7</v>
      </c>
      <c r="G475">
        <v>1128387</v>
      </c>
      <c r="H475" s="5">
        <v>451355</v>
      </c>
      <c r="I475" s="1">
        <v>2</v>
      </c>
      <c r="J475">
        <v>372</v>
      </c>
      <c r="K475">
        <v>2015</v>
      </c>
      <c r="L475">
        <v>1</v>
      </c>
      <c r="M475" t="s">
        <v>511</v>
      </c>
      <c r="N475" t="s">
        <v>3</v>
      </c>
      <c r="O475" t="s">
        <v>935</v>
      </c>
      <c r="P475">
        <v>78</v>
      </c>
      <c r="Q475">
        <v>1</v>
      </c>
      <c r="R475" t="s">
        <v>138</v>
      </c>
      <c r="S475" t="s">
        <v>3</v>
      </c>
      <c r="T475" t="s">
        <v>176</v>
      </c>
      <c r="U475" t="s">
        <v>84</v>
      </c>
      <c r="V475" t="s">
        <v>85</v>
      </c>
      <c r="W475">
        <v>0.4</v>
      </c>
      <c r="X475" t="s">
        <v>197</v>
      </c>
      <c r="Y475" t="s">
        <v>328</v>
      </c>
      <c r="Z475" t="s">
        <v>13</v>
      </c>
      <c r="AA475" t="s">
        <v>4</v>
      </c>
      <c r="AB475">
        <f xml:space="preserve"> COUNTIF(Fact[[#This Row],[Partner.Partner Driven]], "Yes") / COUNTA(Fact[Opportunity ID])</f>
        <v>0</v>
      </c>
      <c r="AC475">
        <f>IFERROR(INDEX(Fact[[#All],[Opportunity ID]],MATCH(X475,Fact[[#All],[salestage.Sales Stage]],0))/INDEX(Fact[[#All],[Opportunity ID]],MATCH(X474,Fact[[#All],[salestage.Sales Stage]],0)), "")</f>
        <v>4.5</v>
      </c>
    </row>
    <row r="476" spans="1:29" x14ac:dyDescent="0.3">
      <c r="A476" s="1">
        <v>42369.457638888889</v>
      </c>
      <c r="B476">
        <v>475</v>
      </c>
      <c r="C476">
        <v>1</v>
      </c>
      <c r="D476">
        <v>281</v>
      </c>
      <c r="E476">
        <v>8</v>
      </c>
      <c r="F476">
        <v>20</v>
      </c>
      <c r="G476">
        <v>5169474</v>
      </c>
      <c r="H476" s="5">
        <v>516947</v>
      </c>
      <c r="I476" s="1">
        <v>10</v>
      </c>
      <c r="J476">
        <v>661</v>
      </c>
      <c r="K476">
        <v>2015</v>
      </c>
      <c r="L476">
        <v>12</v>
      </c>
      <c r="M476" t="s">
        <v>508</v>
      </c>
      <c r="N476" t="s">
        <v>3</v>
      </c>
      <c r="O476" t="s">
        <v>936</v>
      </c>
      <c r="P476">
        <v>304</v>
      </c>
      <c r="Q476">
        <v>2</v>
      </c>
      <c r="R476" t="s">
        <v>143</v>
      </c>
      <c r="S476" t="s">
        <v>3</v>
      </c>
      <c r="T476" t="s">
        <v>189</v>
      </c>
      <c r="U476" t="s">
        <v>526</v>
      </c>
      <c r="V476" t="s">
        <v>72</v>
      </c>
      <c r="W476">
        <v>0.1</v>
      </c>
      <c r="X476" t="s">
        <v>195</v>
      </c>
      <c r="Y476" t="s">
        <v>431</v>
      </c>
      <c r="Z476" t="s">
        <v>8</v>
      </c>
      <c r="AA476" t="s">
        <v>9</v>
      </c>
      <c r="AB476">
        <f xml:space="preserve"> COUNTIF(Fact[[#This Row],[Partner.Partner Driven]], "Yes") / COUNTA(Fact[Opportunity ID])</f>
        <v>2.05761316872428E-3</v>
      </c>
      <c r="AC476">
        <f>IFERROR(INDEX(Fact[[#All],[Opportunity ID]],MATCH(X476,Fact[[#All],[salestage.Sales Stage]],0))/INDEX(Fact[[#All],[Opportunity ID]],MATCH(X475,Fact[[#All],[salestage.Sales Stage]],0)), "")</f>
        <v>0.22222222222222221</v>
      </c>
    </row>
    <row r="477" spans="1:29" x14ac:dyDescent="0.3">
      <c r="A477" s="1">
        <v>42063.457638888889</v>
      </c>
      <c r="B477">
        <v>476</v>
      </c>
      <c r="C477">
        <v>4</v>
      </c>
      <c r="D477">
        <v>353</v>
      </c>
      <c r="E477">
        <v>22</v>
      </c>
      <c r="F477">
        <v>20</v>
      </c>
      <c r="G477">
        <v>733176</v>
      </c>
      <c r="H477" s="5">
        <v>439906</v>
      </c>
      <c r="I477" s="1">
        <v>8</v>
      </c>
      <c r="J477">
        <v>385</v>
      </c>
      <c r="K477">
        <v>2015</v>
      </c>
      <c r="L477">
        <v>2</v>
      </c>
      <c r="M477" t="s">
        <v>509</v>
      </c>
      <c r="N477" t="s">
        <v>3</v>
      </c>
      <c r="O477" t="s">
        <v>937</v>
      </c>
      <c r="P477">
        <v>56</v>
      </c>
      <c r="Q477">
        <v>1</v>
      </c>
      <c r="R477" t="s">
        <v>138</v>
      </c>
      <c r="S477" t="s">
        <v>3</v>
      </c>
      <c r="T477" t="s">
        <v>189</v>
      </c>
      <c r="U477" t="s">
        <v>84</v>
      </c>
      <c r="V477" t="s">
        <v>85</v>
      </c>
      <c r="W477">
        <v>0.6</v>
      </c>
      <c r="X477" t="s">
        <v>198</v>
      </c>
      <c r="Y477" t="s">
        <v>484</v>
      </c>
      <c r="Z477" t="s">
        <v>3</v>
      </c>
      <c r="AA477" t="s">
        <v>6</v>
      </c>
      <c r="AB477">
        <f xml:space="preserve"> COUNTIF(Fact[[#This Row],[Partner.Partner Driven]], "Yes") / COUNTA(Fact[Opportunity ID])</f>
        <v>0</v>
      </c>
      <c r="AC477">
        <f>IFERROR(INDEX(Fact[[#All],[Opportunity ID]],MATCH(X477,Fact[[#All],[salestage.Sales Stage]],0))/INDEX(Fact[[#All],[Opportunity ID]],MATCH(X476,Fact[[#All],[salestage.Sales Stage]],0)), "")</f>
        <v>14</v>
      </c>
    </row>
    <row r="478" spans="1:29" x14ac:dyDescent="0.3">
      <c r="A478" s="1">
        <v>42277.457638888889</v>
      </c>
      <c r="B478">
        <v>477</v>
      </c>
      <c r="C478">
        <v>2</v>
      </c>
      <c r="D478">
        <v>95</v>
      </c>
      <c r="E478">
        <v>22</v>
      </c>
      <c r="F478">
        <v>1</v>
      </c>
      <c r="G478">
        <v>4152171</v>
      </c>
      <c r="H478" s="5">
        <v>830434</v>
      </c>
      <c r="I478" s="1">
        <v>19</v>
      </c>
      <c r="J478">
        <v>619</v>
      </c>
      <c r="K478">
        <v>2015</v>
      </c>
      <c r="L478">
        <v>9</v>
      </c>
      <c r="M478" t="s">
        <v>507</v>
      </c>
      <c r="N478" t="s">
        <v>3</v>
      </c>
      <c r="O478" t="s">
        <v>938</v>
      </c>
      <c r="P478">
        <v>252</v>
      </c>
      <c r="Q478">
        <v>2</v>
      </c>
      <c r="R478" t="s">
        <v>143</v>
      </c>
      <c r="S478" t="s">
        <v>3</v>
      </c>
      <c r="T478" t="s">
        <v>170</v>
      </c>
      <c r="U478" t="s">
        <v>84</v>
      </c>
      <c r="V478" t="s">
        <v>85</v>
      </c>
      <c r="W478">
        <v>0.2</v>
      </c>
      <c r="X478" t="s">
        <v>196</v>
      </c>
      <c r="Y478" t="s">
        <v>246</v>
      </c>
      <c r="Z478" t="s">
        <v>13</v>
      </c>
      <c r="AA478" t="s">
        <v>6</v>
      </c>
      <c r="AB478">
        <f xml:space="preserve"> COUNTIF(Fact[[#This Row],[Partner.Partner Driven]], "Yes") / COUNTA(Fact[Opportunity ID])</f>
        <v>0</v>
      </c>
      <c r="AC478">
        <f>IFERROR(INDEX(Fact[[#All],[Opportunity ID]],MATCH(X478,Fact[[#All],[salestage.Sales Stage]],0))/INDEX(Fact[[#All],[Opportunity ID]],MATCH(X477,Fact[[#All],[salestage.Sales Stage]],0)), "")</f>
        <v>3.5714285714285712E-2</v>
      </c>
    </row>
    <row r="479" spans="1:29" x14ac:dyDescent="0.3">
      <c r="A479" s="1">
        <v>42277.457638888889</v>
      </c>
      <c r="B479">
        <v>478</v>
      </c>
      <c r="C479">
        <v>1</v>
      </c>
      <c r="D479">
        <v>354</v>
      </c>
      <c r="E479">
        <v>9</v>
      </c>
      <c r="F479">
        <v>9</v>
      </c>
      <c r="G479">
        <v>2676258</v>
      </c>
      <c r="H479" s="5">
        <v>267626</v>
      </c>
      <c r="I479" s="1">
        <v>8</v>
      </c>
      <c r="J479">
        <v>599</v>
      </c>
      <c r="K479">
        <v>2015</v>
      </c>
      <c r="L479">
        <v>9</v>
      </c>
      <c r="M479" t="s">
        <v>507</v>
      </c>
      <c r="N479" t="s">
        <v>3</v>
      </c>
      <c r="O479" t="s">
        <v>939</v>
      </c>
      <c r="P479">
        <v>174</v>
      </c>
      <c r="Q479">
        <v>2</v>
      </c>
      <c r="R479" t="s">
        <v>143</v>
      </c>
      <c r="S479" t="s">
        <v>3</v>
      </c>
      <c r="T479" t="s">
        <v>178</v>
      </c>
      <c r="U479" t="s">
        <v>78</v>
      </c>
      <c r="V479" t="s">
        <v>72</v>
      </c>
      <c r="W479">
        <v>0.1</v>
      </c>
      <c r="X479" t="s">
        <v>195</v>
      </c>
      <c r="Y479" t="s">
        <v>502</v>
      </c>
      <c r="Z479" t="s">
        <v>3</v>
      </c>
      <c r="AA479" t="s">
        <v>4</v>
      </c>
      <c r="AB479">
        <f xml:space="preserve"> COUNTIF(Fact[[#This Row],[Partner.Partner Driven]], "Yes") / COUNTA(Fact[Opportunity ID])</f>
        <v>2.05761316872428E-3</v>
      </c>
      <c r="AC479">
        <f>IFERROR(INDEX(Fact[[#All],[Opportunity ID]],MATCH(X479,Fact[[#All],[salestage.Sales Stage]],0))/INDEX(Fact[[#All],[Opportunity ID]],MATCH(X478,Fact[[#All],[salestage.Sales Stage]],0)), "")</f>
        <v>2</v>
      </c>
    </row>
    <row r="480" spans="1:29" x14ac:dyDescent="0.3">
      <c r="A480" s="1">
        <v>42034.457638888889</v>
      </c>
      <c r="B480">
        <v>479</v>
      </c>
      <c r="C480">
        <v>4</v>
      </c>
      <c r="D480">
        <v>355</v>
      </c>
      <c r="E480">
        <v>101</v>
      </c>
      <c r="F480">
        <v>3</v>
      </c>
      <c r="G480">
        <v>538200</v>
      </c>
      <c r="H480" s="5">
        <v>322920</v>
      </c>
      <c r="I480" s="1">
        <v>3</v>
      </c>
      <c r="J480">
        <v>392</v>
      </c>
      <c r="K480">
        <v>2015</v>
      </c>
      <c r="L480">
        <v>1</v>
      </c>
      <c r="M480" t="s">
        <v>511</v>
      </c>
      <c r="N480" t="s">
        <v>3</v>
      </c>
      <c r="O480" t="s">
        <v>940</v>
      </c>
      <c r="P480">
        <v>45</v>
      </c>
      <c r="Q480">
        <v>1</v>
      </c>
      <c r="R480" t="s">
        <v>138</v>
      </c>
      <c r="S480" t="s">
        <v>3</v>
      </c>
      <c r="T480" t="s">
        <v>172</v>
      </c>
      <c r="U480" t="s">
        <v>132</v>
      </c>
      <c r="V480" t="s">
        <v>72</v>
      </c>
      <c r="W480">
        <v>0.6</v>
      </c>
      <c r="X480" t="s">
        <v>198</v>
      </c>
      <c r="Y480" t="s">
        <v>503</v>
      </c>
      <c r="Z480" t="s">
        <v>8</v>
      </c>
      <c r="AA480" t="s">
        <v>6</v>
      </c>
      <c r="AB480">
        <f xml:space="preserve"> COUNTIF(Fact[[#This Row],[Partner.Partner Driven]], "Yes") / COUNTA(Fact[Opportunity ID])</f>
        <v>2.05761316872428E-3</v>
      </c>
      <c r="AC480">
        <f>IFERROR(INDEX(Fact[[#All],[Opportunity ID]],MATCH(X480,Fact[[#All],[salestage.Sales Stage]],0))/INDEX(Fact[[#All],[Opportunity ID]],MATCH(X479,Fact[[#All],[salestage.Sales Stage]],0)), "")</f>
        <v>14</v>
      </c>
    </row>
    <row r="481" spans="1:29" x14ac:dyDescent="0.3">
      <c r="A481" s="1">
        <v>42155.457638888889</v>
      </c>
      <c r="B481">
        <v>480</v>
      </c>
      <c r="C481">
        <v>3</v>
      </c>
      <c r="D481">
        <v>69</v>
      </c>
      <c r="E481">
        <v>22</v>
      </c>
      <c r="F481">
        <v>23</v>
      </c>
      <c r="G481">
        <v>1513800</v>
      </c>
      <c r="H481" s="5">
        <v>605520</v>
      </c>
      <c r="I481" s="1">
        <v>2</v>
      </c>
      <c r="J481">
        <v>424</v>
      </c>
      <c r="K481">
        <v>2015</v>
      </c>
      <c r="L481">
        <v>5</v>
      </c>
      <c r="M481" t="s">
        <v>68</v>
      </c>
      <c r="N481" t="s">
        <v>13</v>
      </c>
      <c r="O481" t="s">
        <v>942</v>
      </c>
      <c r="P481">
        <v>103</v>
      </c>
      <c r="Q481">
        <v>1</v>
      </c>
      <c r="R481" t="s">
        <v>138</v>
      </c>
      <c r="S481" t="s">
        <v>13</v>
      </c>
      <c r="T481" t="s">
        <v>192</v>
      </c>
      <c r="U481" t="s">
        <v>84</v>
      </c>
      <c r="V481" t="s">
        <v>85</v>
      </c>
      <c r="W481">
        <v>0.4</v>
      </c>
      <c r="X481" t="s">
        <v>197</v>
      </c>
      <c r="Y481" t="s">
        <v>220</v>
      </c>
      <c r="Z481" t="s">
        <v>3</v>
      </c>
      <c r="AA481" t="s">
        <v>4</v>
      </c>
      <c r="AB481">
        <f xml:space="preserve"> COUNTIF(Fact[[#This Row],[Partner.Partner Driven]], "Yes") / COUNTA(Fact[Opportunity ID])</f>
        <v>0</v>
      </c>
      <c r="AC481">
        <f>IFERROR(INDEX(Fact[[#All],[Opportunity ID]],MATCH(X481,Fact[[#All],[salestage.Sales Stage]],0))/INDEX(Fact[[#All],[Opportunity ID]],MATCH(X480,Fact[[#All],[salestage.Sales Stage]],0)), "")</f>
        <v>0.32142857142857145</v>
      </c>
    </row>
    <row r="482" spans="1:29" x14ac:dyDescent="0.3">
      <c r="A482" s="1">
        <v>42125.457638888889</v>
      </c>
      <c r="B482">
        <v>481</v>
      </c>
      <c r="C482">
        <v>1</v>
      </c>
      <c r="D482">
        <v>324</v>
      </c>
      <c r="E482">
        <v>22</v>
      </c>
      <c r="F482">
        <v>24</v>
      </c>
      <c r="G482">
        <v>166000</v>
      </c>
      <c r="H482" s="5">
        <v>16600</v>
      </c>
      <c r="I482" s="1">
        <v>1</v>
      </c>
      <c r="J482">
        <v>454</v>
      </c>
      <c r="K482">
        <v>2015</v>
      </c>
      <c r="L482">
        <v>5</v>
      </c>
      <c r="M482" t="s">
        <v>68</v>
      </c>
      <c r="N482" t="s">
        <v>8</v>
      </c>
      <c r="O482" t="s">
        <v>943</v>
      </c>
      <c r="P482">
        <v>19</v>
      </c>
      <c r="Q482">
        <v>1</v>
      </c>
      <c r="R482" t="s">
        <v>138</v>
      </c>
      <c r="S482" t="s">
        <v>8</v>
      </c>
      <c r="T482" t="s">
        <v>193</v>
      </c>
      <c r="U482" t="s">
        <v>84</v>
      </c>
      <c r="V482" t="s">
        <v>85</v>
      </c>
      <c r="W482">
        <v>0.1</v>
      </c>
      <c r="X482" t="s">
        <v>195</v>
      </c>
      <c r="Y482" t="s">
        <v>473</v>
      </c>
      <c r="Z482" t="s">
        <v>3</v>
      </c>
      <c r="AA482" t="s">
        <v>4</v>
      </c>
      <c r="AB482">
        <f xml:space="preserve"> COUNTIF(Fact[[#This Row],[Partner.Partner Driven]], "Yes") / COUNTA(Fact[Opportunity ID])</f>
        <v>0</v>
      </c>
      <c r="AC482">
        <f>IFERROR(INDEX(Fact[[#All],[Opportunity ID]],MATCH(X482,Fact[[#All],[salestage.Sales Stage]],0))/INDEX(Fact[[#All],[Opportunity ID]],MATCH(X481,Fact[[#All],[salestage.Sales Stage]],0)), "")</f>
        <v>0.22222222222222221</v>
      </c>
    </row>
    <row r="483" spans="1:29" x14ac:dyDescent="0.3">
      <c r="A483" s="1">
        <v>42125.457638888889</v>
      </c>
      <c r="B483">
        <v>482</v>
      </c>
      <c r="C483">
        <v>3</v>
      </c>
      <c r="D483">
        <v>324</v>
      </c>
      <c r="E483">
        <v>22</v>
      </c>
      <c r="F483">
        <v>21</v>
      </c>
      <c r="G483">
        <v>366600</v>
      </c>
      <c r="H483" s="5">
        <v>146640</v>
      </c>
      <c r="I483" s="1">
        <v>1</v>
      </c>
      <c r="J483">
        <v>365</v>
      </c>
      <c r="K483">
        <v>2015</v>
      </c>
      <c r="L483">
        <v>5</v>
      </c>
      <c r="M483" t="s">
        <v>68</v>
      </c>
      <c r="N483" t="s">
        <v>13</v>
      </c>
      <c r="O483" t="s">
        <v>944</v>
      </c>
      <c r="P483">
        <v>34</v>
      </c>
      <c r="Q483">
        <v>1</v>
      </c>
      <c r="R483" t="s">
        <v>138</v>
      </c>
      <c r="S483" t="s">
        <v>13</v>
      </c>
      <c r="T483" t="s">
        <v>190</v>
      </c>
      <c r="U483" t="s">
        <v>84</v>
      </c>
      <c r="V483" t="s">
        <v>85</v>
      </c>
      <c r="W483">
        <v>0.4</v>
      </c>
      <c r="X483" t="s">
        <v>197</v>
      </c>
      <c r="Y483" t="s">
        <v>473</v>
      </c>
      <c r="Z483" t="s">
        <v>3</v>
      </c>
      <c r="AA483" t="s">
        <v>4</v>
      </c>
      <c r="AB483">
        <f xml:space="preserve"> COUNTIF(Fact[[#This Row],[Partner.Partner Driven]], "Yes") / COUNTA(Fact[Opportunity ID])</f>
        <v>0</v>
      </c>
      <c r="AC483">
        <f>IFERROR(INDEX(Fact[[#All],[Opportunity ID]],MATCH(X483,Fact[[#All],[salestage.Sales Stage]],0))/INDEX(Fact[[#All],[Opportunity ID]],MATCH(X482,Fact[[#All],[salestage.Sales Stage]],0)), "")</f>
        <v>4.5</v>
      </c>
    </row>
    <row r="484" spans="1:29" x14ac:dyDescent="0.3">
      <c r="A484" s="1">
        <v>42181.457638888889</v>
      </c>
      <c r="B484">
        <v>483</v>
      </c>
      <c r="C484">
        <v>2</v>
      </c>
      <c r="D484">
        <v>356</v>
      </c>
      <c r="E484">
        <v>22</v>
      </c>
      <c r="F484">
        <v>11</v>
      </c>
      <c r="G484">
        <v>24700</v>
      </c>
      <c r="H484" s="5">
        <v>4940</v>
      </c>
      <c r="I484" s="1">
        <v>3</v>
      </c>
      <c r="J484">
        <v>419</v>
      </c>
      <c r="K484">
        <v>2015</v>
      </c>
      <c r="L484">
        <v>6</v>
      </c>
      <c r="M484" t="s">
        <v>70</v>
      </c>
      <c r="N484" t="s">
        <v>13</v>
      </c>
      <c r="O484" t="s">
        <v>945</v>
      </c>
      <c r="P484">
        <v>2</v>
      </c>
      <c r="Q484">
        <v>1</v>
      </c>
      <c r="R484" t="s">
        <v>138</v>
      </c>
      <c r="S484" t="s">
        <v>13</v>
      </c>
      <c r="T484" t="s">
        <v>180</v>
      </c>
      <c r="U484" t="s">
        <v>84</v>
      </c>
      <c r="V484" t="s">
        <v>85</v>
      </c>
      <c r="W484">
        <v>0.2</v>
      </c>
      <c r="X484" t="s">
        <v>196</v>
      </c>
      <c r="Y484" t="s">
        <v>504</v>
      </c>
      <c r="Z484" t="s">
        <v>13</v>
      </c>
      <c r="AA484" t="s">
        <v>9</v>
      </c>
      <c r="AB484">
        <f xml:space="preserve"> COUNTIF(Fact[[#This Row],[Partner.Partner Driven]], "Yes") / COUNTA(Fact[Opportunity ID])</f>
        <v>0</v>
      </c>
      <c r="AC484">
        <f>IFERROR(INDEX(Fact[[#All],[Opportunity ID]],MATCH(X484,Fact[[#All],[salestage.Sales Stage]],0))/INDEX(Fact[[#All],[Opportunity ID]],MATCH(X483,Fact[[#All],[salestage.Sales Stage]],0)), "")</f>
        <v>0.1111111111111111</v>
      </c>
    </row>
    <row r="485" spans="1:29" x14ac:dyDescent="0.3">
      <c r="A485" s="1">
        <v>42080.457638888889</v>
      </c>
      <c r="B485">
        <v>484</v>
      </c>
      <c r="C485">
        <v>1</v>
      </c>
      <c r="D485">
        <v>357</v>
      </c>
      <c r="E485">
        <v>22</v>
      </c>
      <c r="F485">
        <v>25</v>
      </c>
      <c r="G485">
        <v>124080</v>
      </c>
      <c r="H485" s="5">
        <v>12408</v>
      </c>
      <c r="I485" s="1">
        <v>7</v>
      </c>
      <c r="J485">
        <v>434</v>
      </c>
      <c r="K485">
        <v>2015</v>
      </c>
      <c r="L485">
        <v>3</v>
      </c>
      <c r="M485" t="s">
        <v>512</v>
      </c>
      <c r="N485" t="s">
        <v>3</v>
      </c>
      <c r="O485" t="s">
        <v>946</v>
      </c>
      <c r="P485">
        <v>14</v>
      </c>
      <c r="Q485">
        <v>1</v>
      </c>
      <c r="R485" t="s">
        <v>138</v>
      </c>
      <c r="S485" t="s">
        <v>3</v>
      </c>
      <c r="T485" t="s">
        <v>194</v>
      </c>
      <c r="U485" t="s">
        <v>84</v>
      </c>
      <c r="V485" t="s">
        <v>85</v>
      </c>
      <c r="W485">
        <v>0.1</v>
      </c>
      <c r="X485" t="s">
        <v>195</v>
      </c>
      <c r="Y485" t="s">
        <v>402</v>
      </c>
      <c r="Z485" t="s">
        <v>13</v>
      </c>
      <c r="AA485" t="s">
        <v>4</v>
      </c>
      <c r="AB485">
        <f xml:space="preserve"> COUNTIF(Fact[[#This Row],[Partner.Partner Driven]], "Yes") / COUNTA(Fact[Opportunity ID])</f>
        <v>0</v>
      </c>
      <c r="AC485">
        <f>IFERROR(INDEX(Fact[[#All],[Opportunity ID]],MATCH(X485,Fact[[#All],[salestage.Sales Stage]],0))/INDEX(Fact[[#All],[Opportunity ID]],MATCH(X484,Fact[[#All],[salestage.Sales Stage]],0)), "")</f>
        <v>2</v>
      </c>
    </row>
    <row r="486" spans="1:29" x14ac:dyDescent="0.3">
      <c r="A486" s="1">
        <v>42308.457638888889</v>
      </c>
      <c r="B486">
        <v>485</v>
      </c>
      <c r="C486">
        <v>1</v>
      </c>
      <c r="D486">
        <v>100</v>
      </c>
      <c r="E486">
        <v>22</v>
      </c>
      <c r="F486">
        <v>3</v>
      </c>
      <c r="G486">
        <v>165120</v>
      </c>
      <c r="H486" s="5">
        <v>16512</v>
      </c>
      <c r="I486" s="1">
        <v>22</v>
      </c>
      <c r="J486">
        <v>404</v>
      </c>
      <c r="K486">
        <v>2015</v>
      </c>
      <c r="L486">
        <v>10</v>
      </c>
      <c r="M486" t="s">
        <v>505</v>
      </c>
      <c r="N486" t="s">
        <v>3</v>
      </c>
      <c r="O486" t="s">
        <v>947</v>
      </c>
      <c r="P486">
        <v>18</v>
      </c>
      <c r="Q486">
        <v>1</v>
      </c>
      <c r="R486" t="s">
        <v>138</v>
      </c>
      <c r="S486" t="s">
        <v>3</v>
      </c>
      <c r="T486" t="s">
        <v>172</v>
      </c>
      <c r="U486" t="s">
        <v>84</v>
      </c>
      <c r="V486" t="s">
        <v>85</v>
      </c>
      <c r="W486">
        <v>0.1</v>
      </c>
      <c r="X486" t="s">
        <v>195</v>
      </c>
      <c r="Y486" t="s">
        <v>251</v>
      </c>
      <c r="Z486" t="s">
        <v>3</v>
      </c>
      <c r="AA486" t="s">
        <v>4</v>
      </c>
      <c r="AB486">
        <f xml:space="preserve"> COUNTIF(Fact[[#This Row],[Partner.Partner Driven]], "Yes") / COUNTA(Fact[Opportunity ID])</f>
        <v>0</v>
      </c>
      <c r="AC486">
        <f>IFERROR(INDEX(Fact[[#All],[Opportunity ID]],MATCH(X486,Fact[[#All],[salestage.Sales Stage]],0))/INDEX(Fact[[#All],[Opportunity ID]],MATCH(X485,Fact[[#All],[salestage.Sales Stage]],0)), "")</f>
        <v>1</v>
      </c>
    </row>
    <row r="487" spans="1:29" x14ac:dyDescent="0.3">
      <c r="A487" s="1">
        <v>42308.457638888889</v>
      </c>
      <c r="B487">
        <v>486</v>
      </c>
      <c r="C487">
        <v>1</v>
      </c>
      <c r="D487">
        <v>98</v>
      </c>
      <c r="E487">
        <v>8</v>
      </c>
      <c r="F487">
        <v>12</v>
      </c>
      <c r="G487">
        <v>80355</v>
      </c>
      <c r="H487" s="5">
        <v>8036</v>
      </c>
      <c r="I487" s="1">
        <v>22</v>
      </c>
      <c r="J487">
        <v>404</v>
      </c>
      <c r="K487">
        <v>2015</v>
      </c>
      <c r="L487">
        <v>10</v>
      </c>
      <c r="M487" t="s">
        <v>505</v>
      </c>
      <c r="N487" t="s">
        <v>13</v>
      </c>
      <c r="O487" t="s">
        <v>948</v>
      </c>
      <c r="P487">
        <v>9</v>
      </c>
      <c r="Q487">
        <v>1</v>
      </c>
      <c r="R487" t="s">
        <v>138</v>
      </c>
      <c r="S487" t="s">
        <v>13</v>
      </c>
      <c r="T487" t="s">
        <v>181</v>
      </c>
      <c r="U487" t="s">
        <v>526</v>
      </c>
      <c r="V487" t="s">
        <v>72</v>
      </c>
      <c r="W487">
        <v>0.1</v>
      </c>
      <c r="X487" t="s">
        <v>195</v>
      </c>
      <c r="Y487" t="s">
        <v>249</v>
      </c>
      <c r="Z487" t="s">
        <v>13</v>
      </c>
      <c r="AA487" t="s">
        <v>6</v>
      </c>
      <c r="AB487">
        <f xml:space="preserve"> COUNTIF(Fact[[#This Row],[Partner.Partner Driven]], "Yes") / COUNTA(Fact[Opportunity ID])</f>
        <v>2.05761316872428E-3</v>
      </c>
      <c r="AC487">
        <f>IFERROR(INDEX(Fact[[#All],[Opportunity ID]],MATCH(X487,Fact[[#All],[salestage.Sales Stage]],0))/INDEX(Fact[[#All],[Opportunity ID]],MATCH(X486,Fact[[#All],[salestage.Sales Stage]],0)), "")</f>
        <v>1</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85168-3666-483B-A1E6-010969C155DA}">
  <sheetPr codeName="Sheet3"/>
  <dimension ref="A2:CX552"/>
  <sheetViews>
    <sheetView topLeftCell="C214" zoomScale="70" zoomScaleNormal="70" workbookViewId="0">
      <selection activeCell="M64" sqref="M64"/>
    </sheetView>
  </sheetViews>
  <sheetFormatPr defaultRowHeight="14.4" x14ac:dyDescent="0.3"/>
  <cols>
    <col min="1" max="1" width="18.21875" bestFit="1" customWidth="1"/>
    <col min="2" max="2" width="11.109375" bestFit="1" customWidth="1"/>
    <col min="3" max="3" width="10.88671875" bestFit="1" customWidth="1"/>
    <col min="4" max="4" width="4.5546875" bestFit="1" customWidth="1"/>
    <col min="5" max="5" width="4.21875" bestFit="1" customWidth="1"/>
    <col min="6" max="6" width="23.5546875" bestFit="1" customWidth="1"/>
    <col min="7" max="7" width="18.21875" bestFit="1" customWidth="1"/>
    <col min="8" max="8" width="11.109375" bestFit="1" customWidth="1"/>
    <col min="9" max="9" width="4.44140625" bestFit="1" customWidth="1"/>
    <col min="10" max="10" width="30.5546875" bestFit="1" customWidth="1"/>
    <col min="11" max="11" width="22.33203125" bestFit="1" customWidth="1"/>
    <col min="12" max="12" width="23.44140625" bestFit="1" customWidth="1"/>
    <col min="13" max="13" width="21.5546875" bestFit="1" customWidth="1"/>
    <col min="14" max="14" width="22.33203125" bestFit="1" customWidth="1"/>
    <col min="15" max="15" width="23.44140625" bestFit="1" customWidth="1"/>
    <col min="16" max="16" width="13.33203125" bestFit="1" customWidth="1"/>
    <col min="17" max="17" width="13.88671875" bestFit="1" customWidth="1"/>
    <col min="18" max="25" width="13.33203125" bestFit="1" customWidth="1"/>
    <col min="26" max="26" width="15.21875" bestFit="1" customWidth="1"/>
    <col min="27" max="36" width="13.33203125" bestFit="1" customWidth="1"/>
    <col min="37" max="37" width="12.21875" bestFit="1" customWidth="1"/>
    <col min="38" max="68" width="13.33203125" bestFit="1" customWidth="1"/>
    <col min="69" max="69" width="12.21875" bestFit="1" customWidth="1"/>
    <col min="70" max="73" width="13.33203125" bestFit="1" customWidth="1"/>
    <col min="74" max="74" width="12.21875" bestFit="1" customWidth="1"/>
    <col min="75" max="81" width="13.33203125" bestFit="1" customWidth="1"/>
    <col min="82" max="82" width="12.21875" bestFit="1" customWidth="1"/>
    <col min="83" max="83" width="13.33203125" bestFit="1" customWidth="1"/>
    <col min="84" max="84" width="13" bestFit="1" customWidth="1"/>
    <col min="85" max="93" width="13.33203125" bestFit="1" customWidth="1"/>
    <col min="94" max="94" width="13" bestFit="1" customWidth="1"/>
    <col min="95" max="96" width="13.33203125" bestFit="1" customWidth="1"/>
    <col min="97" max="97" width="13" bestFit="1" customWidth="1"/>
    <col min="98" max="102" width="13.33203125" bestFit="1" customWidth="1"/>
    <col min="103" max="103" width="9.44140625" bestFit="1" customWidth="1"/>
    <col min="104" max="104" width="14.33203125" bestFit="1" customWidth="1"/>
    <col min="105" max="105" width="10" bestFit="1" customWidth="1"/>
    <col min="106" max="106" width="12.44140625" bestFit="1" customWidth="1"/>
    <col min="107" max="107" width="10.44140625" bestFit="1" customWidth="1"/>
    <col min="108" max="108" width="9.44140625" bestFit="1" customWidth="1"/>
    <col min="109" max="109" width="10.33203125" bestFit="1" customWidth="1"/>
    <col min="110" max="110" width="11.44140625" bestFit="1" customWidth="1"/>
    <col min="111" max="116" width="17.44140625" bestFit="1" customWidth="1"/>
    <col min="117" max="117" width="18.6640625" bestFit="1" customWidth="1"/>
    <col min="118" max="124" width="17.44140625" bestFit="1" customWidth="1"/>
    <col min="125" max="125" width="15.88671875" bestFit="1" customWidth="1"/>
    <col min="126" max="126" width="20.6640625" bestFit="1" customWidth="1"/>
    <col min="127" max="136" width="17.44140625" bestFit="1" customWidth="1"/>
    <col min="137" max="137" width="15.88671875" bestFit="1" customWidth="1"/>
    <col min="138" max="168" width="17.44140625" bestFit="1" customWidth="1"/>
    <col min="169" max="169" width="15.88671875" bestFit="1" customWidth="1"/>
    <col min="170" max="173" width="17.44140625" bestFit="1" customWidth="1"/>
    <col min="174" max="174" width="15.88671875" bestFit="1" customWidth="1"/>
    <col min="175" max="181" width="17.44140625" bestFit="1" customWidth="1"/>
    <col min="182" max="182" width="15.88671875" bestFit="1" customWidth="1"/>
    <col min="183" max="201" width="17.44140625" bestFit="1" customWidth="1"/>
    <col min="202" max="202" width="46.5546875" bestFit="1" customWidth="1"/>
    <col min="203" max="203" width="49.77734375" bestFit="1" customWidth="1"/>
    <col min="204" max="400" width="40.88671875" bestFit="1" customWidth="1"/>
    <col min="401" max="401" width="34.109375" bestFit="1" customWidth="1"/>
    <col min="402" max="402" width="26.44140625" bestFit="1" customWidth="1"/>
    <col min="403" max="403" width="45.6640625" bestFit="1" customWidth="1"/>
    <col min="404" max="404" width="36.88671875" bestFit="1" customWidth="1"/>
    <col min="405" max="484" width="15.5546875" bestFit="1" customWidth="1"/>
    <col min="485" max="486" width="10.77734375" bestFit="1" customWidth="1"/>
  </cols>
  <sheetData>
    <row r="2" spans="1:16" ht="14.4" customHeight="1" x14ac:dyDescent="0.35">
      <c r="L2" s="18"/>
      <c r="M2" s="18"/>
      <c r="N2" s="18"/>
      <c r="O2" s="18"/>
    </row>
    <row r="3" spans="1:16" ht="14.4" customHeight="1" x14ac:dyDescent="0.35">
      <c r="A3" s="2" t="s">
        <v>67</v>
      </c>
      <c r="B3" t="s">
        <v>1041</v>
      </c>
      <c r="D3" t="str">
        <f>A3</f>
        <v>Month</v>
      </c>
      <c r="E3" t="str">
        <f>B3</f>
        <v>Revenue</v>
      </c>
      <c r="F3" t="str">
        <f>E3</f>
        <v>Revenue</v>
      </c>
      <c r="G3" s="2" t="s">
        <v>67</v>
      </c>
      <c r="H3" t="s">
        <v>1041</v>
      </c>
      <c r="J3" t="str">
        <f>G3</f>
        <v>Month</v>
      </c>
      <c r="K3" t="str">
        <f>H3</f>
        <v>Revenue</v>
      </c>
      <c r="L3" s="18"/>
      <c r="M3" s="18"/>
      <c r="N3" s="19" t="s">
        <v>1044</v>
      </c>
      <c r="O3" s="20" t="s">
        <v>1041</v>
      </c>
      <c r="P3" s="19" t="s">
        <v>1050</v>
      </c>
    </row>
    <row r="4" spans="1:16" x14ac:dyDescent="0.3">
      <c r="A4" t="s">
        <v>511</v>
      </c>
      <c r="B4" s="28">
        <v>103719933</v>
      </c>
      <c r="D4" t="str">
        <f t="shared" ref="D4:D15" si="0">A4</f>
        <v>Jan</v>
      </c>
      <c r="E4" s="13">
        <f t="shared" ref="E4:E15" si="1">B4</f>
        <v>103719933</v>
      </c>
      <c r="F4" s="13">
        <f t="shared" ref="F4:F15" si="2">E4</f>
        <v>103719933</v>
      </c>
      <c r="G4" t="s">
        <v>511</v>
      </c>
      <c r="H4" s="28">
        <v>103719933</v>
      </c>
      <c r="J4" t="str">
        <f t="shared" ref="J4:J15" si="3">G4</f>
        <v>Jan</v>
      </c>
      <c r="K4">
        <f t="shared" ref="K4:K15" si="4">H4</f>
        <v>103719933</v>
      </c>
      <c r="N4" t="s">
        <v>1045</v>
      </c>
      <c r="O4">
        <f>L6</f>
        <v>204495830</v>
      </c>
      <c r="P4" s="16">
        <f>O4/$O$8</f>
        <v>0.44347551898748361</v>
      </c>
    </row>
    <row r="5" spans="1:16" x14ac:dyDescent="0.3">
      <c r="A5" t="s">
        <v>509</v>
      </c>
      <c r="B5" s="28">
        <v>48957215</v>
      </c>
      <c r="D5" t="str">
        <f t="shared" si="0"/>
        <v>Feb</v>
      </c>
      <c r="E5" s="13">
        <f t="shared" si="1"/>
        <v>48957215</v>
      </c>
      <c r="F5" s="13">
        <f t="shared" si="2"/>
        <v>48957215</v>
      </c>
      <c r="G5" t="s">
        <v>509</v>
      </c>
      <c r="H5" s="28">
        <v>48957215</v>
      </c>
      <c r="J5" t="str">
        <f t="shared" si="3"/>
        <v>Feb</v>
      </c>
      <c r="K5">
        <f t="shared" si="4"/>
        <v>48957215</v>
      </c>
      <c r="N5" t="s">
        <v>1046</v>
      </c>
      <c r="O5">
        <f>L9</f>
        <v>133976999</v>
      </c>
      <c r="P5" s="16">
        <f>O5/$O$8</f>
        <v>0.29054636059772254</v>
      </c>
    </row>
    <row r="6" spans="1:16" x14ac:dyDescent="0.3">
      <c r="A6" t="s">
        <v>512</v>
      </c>
      <c r="B6" s="28">
        <v>51818682</v>
      </c>
      <c r="D6" t="str">
        <f t="shared" si="0"/>
        <v>Mar</v>
      </c>
      <c r="E6" s="13">
        <f t="shared" si="1"/>
        <v>51818682</v>
      </c>
      <c r="F6" s="13">
        <f t="shared" si="2"/>
        <v>51818682</v>
      </c>
      <c r="G6" t="s">
        <v>512</v>
      </c>
      <c r="H6" s="28">
        <v>51818682</v>
      </c>
      <c r="I6">
        <v>1</v>
      </c>
      <c r="J6" t="str">
        <f t="shared" si="3"/>
        <v>Mar</v>
      </c>
      <c r="K6">
        <f t="shared" si="4"/>
        <v>51818682</v>
      </c>
      <c r="L6">
        <f>SUM(K4:K6)</f>
        <v>204495830</v>
      </c>
      <c r="N6" t="s">
        <v>1047</v>
      </c>
      <c r="O6">
        <f>L12</f>
        <v>65137530</v>
      </c>
      <c r="P6" s="16">
        <f>O6/$O$8</f>
        <v>0.14125911478152284</v>
      </c>
    </row>
    <row r="7" spans="1:16" x14ac:dyDescent="0.3">
      <c r="A7" t="s">
        <v>510</v>
      </c>
      <c r="B7" s="28">
        <v>43464447</v>
      </c>
      <c r="D7" t="str">
        <f t="shared" si="0"/>
        <v>Apr</v>
      </c>
      <c r="E7" s="13">
        <f t="shared" si="1"/>
        <v>43464447</v>
      </c>
      <c r="F7" s="13">
        <f t="shared" si="2"/>
        <v>43464447</v>
      </c>
      <c r="G7" t="s">
        <v>510</v>
      </c>
      <c r="H7" s="28">
        <v>43464447</v>
      </c>
      <c r="J7" t="str">
        <f t="shared" si="3"/>
        <v>Apr</v>
      </c>
      <c r="K7">
        <f t="shared" si="4"/>
        <v>43464447</v>
      </c>
      <c r="N7" t="s">
        <v>1048</v>
      </c>
      <c r="O7">
        <f>L15</f>
        <v>57510540</v>
      </c>
      <c r="P7" s="16">
        <f>O7/$O$8</f>
        <v>0.12471900563327103</v>
      </c>
    </row>
    <row r="8" spans="1:16" x14ac:dyDescent="0.3">
      <c r="A8" t="s">
        <v>68</v>
      </c>
      <c r="B8" s="28">
        <v>43320655</v>
      </c>
      <c r="D8" t="str">
        <f t="shared" si="0"/>
        <v>May</v>
      </c>
      <c r="E8" s="13">
        <f t="shared" si="1"/>
        <v>43320655</v>
      </c>
      <c r="F8" s="13">
        <f t="shared" si="2"/>
        <v>43320655</v>
      </c>
      <c r="G8" t="s">
        <v>68</v>
      </c>
      <c r="H8" s="28">
        <v>43320655</v>
      </c>
      <c r="J8" t="str">
        <f t="shared" si="3"/>
        <v>May</v>
      </c>
      <c r="K8">
        <f t="shared" si="4"/>
        <v>43320655</v>
      </c>
      <c r="N8" s="19" t="s">
        <v>1049</v>
      </c>
      <c r="O8" s="19">
        <f>SUM(O4:O7)</f>
        <v>461120899</v>
      </c>
    </row>
    <row r="9" spans="1:16" x14ac:dyDescent="0.3">
      <c r="A9" t="s">
        <v>70</v>
      </c>
      <c r="B9" s="28">
        <v>47191897</v>
      </c>
      <c r="D9" t="str">
        <f t="shared" si="0"/>
        <v>Jun</v>
      </c>
      <c r="E9" s="13">
        <f t="shared" si="1"/>
        <v>47191897</v>
      </c>
      <c r="F9" s="13">
        <f t="shared" si="2"/>
        <v>47191897</v>
      </c>
      <c r="G9" t="s">
        <v>70</v>
      </c>
      <c r="H9" s="28">
        <v>47191897</v>
      </c>
      <c r="I9">
        <v>2</v>
      </c>
      <c r="J9" t="str">
        <f t="shared" si="3"/>
        <v>Jun</v>
      </c>
      <c r="K9">
        <f t="shared" si="4"/>
        <v>47191897</v>
      </c>
      <c r="L9">
        <f>SUM(K7:K9)</f>
        <v>133976999</v>
      </c>
    </row>
    <row r="10" spans="1:16" x14ac:dyDescent="0.3">
      <c r="A10" t="s">
        <v>69</v>
      </c>
      <c r="B10" s="28">
        <v>29441321</v>
      </c>
      <c r="D10" t="str">
        <f t="shared" si="0"/>
        <v>Jul</v>
      </c>
      <c r="E10" s="13">
        <f t="shared" si="1"/>
        <v>29441321</v>
      </c>
      <c r="F10" s="13">
        <f t="shared" si="2"/>
        <v>29441321</v>
      </c>
      <c r="G10" t="s">
        <v>69</v>
      </c>
      <c r="H10" s="28">
        <v>29441321</v>
      </c>
      <c r="J10" t="str">
        <f t="shared" si="3"/>
        <v>Jul</v>
      </c>
      <c r="K10">
        <f t="shared" si="4"/>
        <v>29441321</v>
      </c>
    </row>
    <row r="11" spans="1:16" x14ac:dyDescent="0.3">
      <c r="A11" t="s">
        <v>513</v>
      </c>
      <c r="B11" s="28">
        <v>15810777</v>
      </c>
      <c r="D11" t="str">
        <f t="shared" si="0"/>
        <v>Aug</v>
      </c>
      <c r="E11" s="13">
        <f t="shared" si="1"/>
        <v>15810777</v>
      </c>
      <c r="F11" s="13">
        <f t="shared" si="2"/>
        <v>15810777</v>
      </c>
      <c r="G11" t="s">
        <v>513</v>
      </c>
      <c r="H11" s="28">
        <v>15810777</v>
      </c>
      <c r="J11" t="str">
        <f t="shared" si="3"/>
        <v>Aug</v>
      </c>
      <c r="K11">
        <f t="shared" si="4"/>
        <v>15810777</v>
      </c>
      <c r="N11" t="str">
        <f>N3</f>
        <v>Qrt</v>
      </c>
      <c r="O11" t="str">
        <f>P3</f>
        <v>%Revenue</v>
      </c>
      <c r="P11" t="s">
        <v>1043</v>
      </c>
    </row>
    <row r="12" spans="1:16" x14ac:dyDescent="0.3">
      <c r="A12" t="s">
        <v>507</v>
      </c>
      <c r="B12" s="28">
        <v>19885432</v>
      </c>
      <c r="D12" t="str">
        <f t="shared" si="0"/>
        <v>Sep</v>
      </c>
      <c r="E12" s="13">
        <f t="shared" si="1"/>
        <v>19885432</v>
      </c>
      <c r="F12" s="13">
        <f t="shared" si="2"/>
        <v>19885432</v>
      </c>
      <c r="G12" t="s">
        <v>507</v>
      </c>
      <c r="H12" s="28">
        <v>19885432</v>
      </c>
      <c r="I12">
        <v>3</v>
      </c>
      <c r="J12" t="str">
        <f t="shared" si="3"/>
        <v>Sep</v>
      </c>
      <c r="K12">
        <f t="shared" si="4"/>
        <v>19885432</v>
      </c>
      <c r="L12">
        <f>SUM(K10:K12)</f>
        <v>65137530</v>
      </c>
      <c r="N12" t="str">
        <f>N4</f>
        <v>Qrt 1</v>
      </c>
      <c r="O12" s="16">
        <f>P4</f>
        <v>0.44347551898748361</v>
      </c>
      <c r="P12" s="16">
        <f>1-O12</f>
        <v>0.55652448101251639</v>
      </c>
    </row>
    <row r="13" spans="1:16" x14ac:dyDescent="0.3">
      <c r="A13" t="s">
        <v>505</v>
      </c>
      <c r="B13" s="28">
        <v>9271364</v>
      </c>
      <c r="D13" t="str">
        <f t="shared" si="0"/>
        <v>Oct</v>
      </c>
      <c r="E13" s="13">
        <f t="shared" si="1"/>
        <v>9271364</v>
      </c>
      <c r="F13" s="13">
        <f t="shared" si="2"/>
        <v>9271364</v>
      </c>
      <c r="G13" t="s">
        <v>505</v>
      </c>
      <c r="H13" s="28">
        <v>9271364</v>
      </c>
      <c r="J13" t="str">
        <f t="shared" si="3"/>
        <v>Oct</v>
      </c>
      <c r="K13">
        <f t="shared" si="4"/>
        <v>9271364</v>
      </c>
      <c r="N13" t="str">
        <f>N5</f>
        <v>Qrt 2</v>
      </c>
      <c r="O13" s="16">
        <f>P5</f>
        <v>0.29054636059772254</v>
      </c>
      <c r="P13" s="16">
        <f>1-O13</f>
        <v>0.70945363940227746</v>
      </c>
    </row>
    <row r="14" spans="1:16" x14ac:dyDescent="0.3">
      <c r="A14" t="s">
        <v>506</v>
      </c>
      <c r="B14" s="28">
        <v>12858776</v>
      </c>
      <c r="D14" t="str">
        <f t="shared" si="0"/>
        <v>Nov</v>
      </c>
      <c r="E14" s="13">
        <f t="shared" si="1"/>
        <v>12858776</v>
      </c>
      <c r="F14" s="13">
        <f t="shared" si="2"/>
        <v>12858776</v>
      </c>
      <c r="G14" t="s">
        <v>506</v>
      </c>
      <c r="H14" s="28">
        <v>12858776</v>
      </c>
      <c r="J14" t="str">
        <f t="shared" si="3"/>
        <v>Nov</v>
      </c>
      <c r="K14">
        <f t="shared" si="4"/>
        <v>12858776</v>
      </c>
      <c r="N14" t="str">
        <f>N6</f>
        <v>Qrt 3</v>
      </c>
      <c r="O14" s="16">
        <f>P6</f>
        <v>0.14125911478152284</v>
      </c>
      <c r="P14" s="16">
        <f>1-O14</f>
        <v>0.85874088521847713</v>
      </c>
    </row>
    <row r="15" spans="1:16" x14ac:dyDescent="0.3">
      <c r="A15" t="s">
        <v>508</v>
      </c>
      <c r="B15" s="28">
        <v>35380400</v>
      </c>
      <c r="D15" t="str">
        <f t="shared" si="0"/>
        <v>Dec</v>
      </c>
      <c r="E15" s="13">
        <f t="shared" si="1"/>
        <v>35380400</v>
      </c>
      <c r="F15" s="13">
        <f t="shared" si="2"/>
        <v>35380400</v>
      </c>
      <c r="G15" t="s">
        <v>508</v>
      </c>
      <c r="H15" s="28">
        <v>35380400</v>
      </c>
      <c r="I15">
        <v>4</v>
      </c>
      <c r="J15" t="str">
        <f t="shared" si="3"/>
        <v>Dec</v>
      </c>
      <c r="K15">
        <f t="shared" si="4"/>
        <v>35380400</v>
      </c>
      <c r="L15">
        <f>SUM(K13:K15)</f>
        <v>57510540</v>
      </c>
      <c r="N15" t="str">
        <f>N7</f>
        <v>Qrt 4</v>
      </c>
      <c r="O15" s="16">
        <f>P7</f>
        <v>0.12471900563327103</v>
      </c>
      <c r="P15" s="16">
        <f>1-O15</f>
        <v>0.87528099436672901</v>
      </c>
    </row>
    <row r="21" spans="1:5" x14ac:dyDescent="0.3">
      <c r="A21" s="2" t="s">
        <v>1</v>
      </c>
      <c r="B21" t="s">
        <v>1023</v>
      </c>
    </row>
    <row r="22" spans="1:5" x14ac:dyDescent="0.3">
      <c r="A22" t="s">
        <v>3</v>
      </c>
      <c r="B22" s="12">
        <v>162645112</v>
      </c>
      <c r="C22">
        <f>GETPIVOTDATA("FactoredProductRevenue",$A$21,"Region","Central")</f>
        <v>162645112</v>
      </c>
    </row>
    <row r="23" spans="1:5" x14ac:dyDescent="0.3">
      <c r="A23" t="s">
        <v>13</v>
      </c>
      <c r="B23" s="12">
        <v>193154146</v>
      </c>
      <c r="C23">
        <f>GETPIVOTDATA("FactoredProductRevenue",$A$21,"Region","East")</f>
        <v>193154146</v>
      </c>
    </row>
    <row r="24" spans="1:5" x14ac:dyDescent="0.3">
      <c r="A24" t="s">
        <v>8</v>
      </c>
      <c r="B24" s="12">
        <v>105321641</v>
      </c>
      <c r="C24">
        <f>GETPIVOTDATA("FactoredProductRevenue",$A$21,"Region","West")</f>
        <v>105321641</v>
      </c>
    </row>
    <row r="29" spans="1:5" x14ac:dyDescent="0.3">
      <c r="A29" s="2" t="s">
        <v>1053</v>
      </c>
      <c r="B29" t="s">
        <v>1041</v>
      </c>
      <c r="D29" t="str">
        <f>A29</f>
        <v>Product</v>
      </c>
      <c r="E29" t="str">
        <f>B29</f>
        <v>Revenue</v>
      </c>
    </row>
    <row r="30" spans="1:5" x14ac:dyDescent="0.3">
      <c r="A30" s="3" t="s">
        <v>170</v>
      </c>
      <c r="B30">
        <v>28968988</v>
      </c>
      <c r="D30" t="str">
        <f t="shared" ref="D30:D54" si="5">A30</f>
        <v>Abbas</v>
      </c>
      <c r="E30">
        <f t="shared" ref="E30:E54" si="6">B30</f>
        <v>28968988</v>
      </c>
    </row>
    <row r="31" spans="1:5" x14ac:dyDescent="0.3">
      <c r="A31" s="3" t="s">
        <v>191</v>
      </c>
      <c r="B31">
        <v>27499586</v>
      </c>
      <c r="D31" t="str">
        <f t="shared" si="5"/>
        <v>Aqua</v>
      </c>
      <c r="E31">
        <f t="shared" si="6"/>
        <v>27499586</v>
      </c>
    </row>
    <row r="32" spans="1:5" x14ac:dyDescent="0.3">
      <c r="A32" s="3" t="s">
        <v>171</v>
      </c>
      <c r="B32">
        <v>24279627</v>
      </c>
      <c r="D32" t="str">
        <f t="shared" si="5"/>
        <v>Basium</v>
      </c>
      <c r="E32">
        <f t="shared" si="6"/>
        <v>24279627</v>
      </c>
    </row>
    <row r="33" spans="1:5" x14ac:dyDescent="0.3">
      <c r="A33" s="3" t="s">
        <v>192</v>
      </c>
      <c r="B33">
        <v>14447471</v>
      </c>
      <c r="D33" t="str">
        <f t="shared" si="5"/>
        <v>Bellus</v>
      </c>
      <c r="E33">
        <f t="shared" si="6"/>
        <v>14447471</v>
      </c>
    </row>
    <row r="34" spans="1:5" x14ac:dyDescent="0.3">
      <c r="A34" s="3" t="s">
        <v>172</v>
      </c>
      <c r="B34">
        <v>10524392</v>
      </c>
      <c r="D34" t="str">
        <f t="shared" si="5"/>
        <v>Campana</v>
      </c>
      <c r="E34">
        <f t="shared" si="6"/>
        <v>10524392</v>
      </c>
    </row>
    <row r="35" spans="1:5" x14ac:dyDescent="0.3">
      <c r="A35" s="3" t="s">
        <v>193</v>
      </c>
      <c r="B35">
        <v>18573079</v>
      </c>
      <c r="D35" t="str">
        <f t="shared" si="5"/>
        <v>Carmen</v>
      </c>
      <c r="E35">
        <f t="shared" si="6"/>
        <v>18573079</v>
      </c>
    </row>
    <row r="36" spans="1:5" x14ac:dyDescent="0.3">
      <c r="A36" s="3" t="s">
        <v>173</v>
      </c>
      <c r="B36">
        <v>10698552</v>
      </c>
      <c r="D36" t="str">
        <f t="shared" si="5"/>
        <v>Decimus</v>
      </c>
      <c r="E36">
        <f t="shared" si="6"/>
        <v>10698552</v>
      </c>
    </row>
    <row r="37" spans="1:5" x14ac:dyDescent="0.3">
      <c r="A37" s="3" t="s">
        <v>174</v>
      </c>
      <c r="B37">
        <v>18720332</v>
      </c>
      <c r="D37" t="str">
        <f t="shared" si="5"/>
        <v>Eligo</v>
      </c>
      <c r="E37">
        <f t="shared" si="6"/>
        <v>18720332</v>
      </c>
    </row>
    <row r="38" spans="1:5" x14ac:dyDescent="0.3">
      <c r="A38" s="3" t="s">
        <v>175</v>
      </c>
      <c r="B38">
        <v>27007963</v>
      </c>
      <c r="D38" t="str">
        <f t="shared" si="5"/>
        <v>Fatum</v>
      </c>
      <c r="E38">
        <f t="shared" si="6"/>
        <v>27007963</v>
      </c>
    </row>
    <row r="39" spans="1:5" x14ac:dyDescent="0.3">
      <c r="A39" s="3" t="s">
        <v>176</v>
      </c>
      <c r="B39">
        <v>17824804</v>
      </c>
      <c r="D39" t="str">
        <f t="shared" si="5"/>
        <v>Gratus</v>
      </c>
      <c r="E39">
        <f t="shared" si="6"/>
        <v>17824804</v>
      </c>
    </row>
    <row r="40" spans="1:5" x14ac:dyDescent="0.3">
      <c r="A40" s="3" t="s">
        <v>177</v>
      </c>
      <c r="B40">
        <v>6404216</v>
      </c>
      <c r="D40" t="str">
        <f t="shared" si="5"/>
        <v>Habitus</v>
      </c>
      <c r="E40">
        <f t="shared" si="6"/>
        <v>6404216</v>
      </c>
    </row>
    <row r="41" spans="1:5" x14ac:dyDescent="0.3">
      <c r="A41" s="3" t="s">
        <v>178</v>
      </c>
      <c r="B41">
        <v>27504751</v>
      </c>
      <c r="D41" t="str">
        <f t="shared" si="5"/>
        <v>Ignis</v>
      </c>
      <c r="E41">
        <f t="shared" si="6"/>
        <v>27504751</v>
      </c>
    </row>
    <row r="42" spans="1:5" x14ac:dyDescent="0.3">
      <c r="A42" s="3" t="s">
        <v>179</v>
      </c>
      <c r="B42">
        <v>14289027</v>
      </c>
      <c r="D42" t="str">
        <f t="shared" si="5"/>
        <v>Juvenis</v>
      </c>
      <c r="E42">
        <f t="shared" si="6"/>
        <v>14289027</v>
      </c>
    </row>
    <row r="43" spans="1:5" x14ac:dyDescent="0.3">
      <c r="A43" s="3" t="s">
        <v>180</v>
      </c>
      <c r="B43">
        <v>10769290</v>
      </c>
      <c r="D43" t="str">
        <f t="shared" si="5"/>
        <v>Lacuna</v>
      </c>
      <c r="E43">
        <f t="shared" si="6"/>
        <v>10769290</v>
      </c>
    </row>
    <row r="44" spans="1:5" x14ac:dyDescent="0.3">
      <c r="A44" s="3" t="s">
        <v>181</v>
      </c>
      <c r="B44">
        <v>23462792</v>
      </c>
      <c r="D44" t="str">
        <f t="shared" si="5"/>
        <v>Magis</v>
      </c>
      <c r="E44">
        <f t="shared" si="6"/>
        <v>23462792</v>
      </c>
    </row>
    <row r="45" spans="1:5" x14ac:dyDescent="0.3">
      <c r="A45" s="3" t="s">
        <v>194</v>
      </c>
      <c r="B45">
        <v>25476441</v>
      </c>
      <c r="D45" t="str">
        <f t="shared" si="5"/>
        <v>Maximus</v>
      </c>
      <c r="E45">
        <f t="shared" si="6"/>
        <v>25476441</v>
      </c>
    </row>
    <row r="46" spans="1:5" x14ac:dyDescent="0.3">
      <c r="A46" s="3" t="s">
        <v>182</v>
      </c>
      <c r="B46">
        <v>20774621</v>
      </c>
      <c r="D46" t="str">
        <f t="shared" si="5"/>
        <v>Nimis</v>
      </c>
      <c r="E46">
        <f t="shared" si="6"/>
        <v>20774621</v>
      </c>
    </row>
    <row r="47" spans="1:5" x14ac:dyDescent="0.3">
      <c r="A47" s="3" t="s">
        <v>183</v>
      </c>
      <c r="B47">
        <v>3622868</v>
      </c>
      <c r="D47" t="str">
        <f t="shared" si="5"/>
        <v>Omins</v>
      </c>
      <c r="E47">
        <f t="shared" si="6"/>
        <v>3622868</v>
      </c>
    </row>
    <row r="48" spans="1:5" x14ac:dyDescent="0.3">
      <c r="A48" s="3" t="s">
        <v>184</v>
      </c>
      <c r="B48">
        <v>16811029</v>
      </c>
      <c r="D48" t="str">
        <f t="shared" si="5"/>
        <v>Paratus</v>
      </c>
      <c r="E48">
        <f t="shared" si="6"/>
        <v>16811029</v>
      </c>
    </row>
    <row r="49" spans="1:15" x14ac:dyDescent="0.3">
      <c r="A49" s="3" t="s">
        <v>185</v>
      </c>
      <c r="B49">
        <v>13709056</v>
      </c>
      <c r="D49" t="str">
        <f t="shared" si="5"/>
        <v>Quanti</v>
      </c>
      <c r="E49">
        <f t="shared" si="6"/>
        <v>13709056</v>
      </c>
    </row>
    <row r="50" spans="1:15" x14ac:dyDescent="0.3">
      <c r="A50" s="3" t="s">
        <v>186</v>
      </c>
      <c r="B50">
        <v>15566448</v>
      </c>
      <c r="D50" t="str">
        <f t="shared" si="5"/>
        <v>Recolo</v>
      </c>
      <c r="E50">
        <f t="shared" si="6"/>
        <v>15566448</v>
      </c>
    </row>
    <row r="51" spans="1:15" x14ac:dyDescent="0.3">
      <c r="A51" s="3" t="s">
        <v>187</v>
      </c>
      <c r="B51">
        <v>18795913</v>
      </c>
      <c r="D51" t="str">
        <f t="shared" si="5"/>
        <v>Sato</v>
      </c>
      <c r="E51">
        <f t="shared" si="6"/>
        <v>18795913</v>
      </c>
    </row>
    <row r="52" spans="1:15" x14ac:dyDescent="0.3">
      <c r="A52" s="3" t="s">
        <v>188</v>
      </c>
      <c r="B52">
        <v>34446792</v>
      </c>
      <c r="D52" t="str">
        <f t="shared" si="5"/>
        <v>Talus</v>
      </c>
      <c r="E52">
        <f t="shared" si="6"/>
        <v>34446792</v>
      </c>
    </row>
    <row r="53" spans="1:15" x14ac:dyDescent="0.3">
      <c r="A53" s="3" t="s">
        <v>189</v>
      </c>
      <c r="B53">
        <v>14818243</v>
      </c>
      <c r="D53" t="str">
        <f t="shared" si="5"/>
        <v>Umbra</v>
      </c>
      <c r="E53">
        <f t="shared" si="6"/>
        <v>14818243</v>
      </c>
    </row>
    <row r="54" spans="1:15" x14ac:dyDescent="0.3">
      <c r="A54" s="3" t="s">
        <v>190</v>
      </c>
      <c r="B54">
        <v>16124618</v>
      </c>
      <c r="D54" t="str">
        <f t="shared" si="5"/>
        <v>Vero</v>
      </c>
      <c r="E54">
        <f t="shared" si="6"/>
        <v>16124618</v>
      </c>
    </row>
    <row r="58" spans="1:15" x14ac:dyDescent="0.3">
      <c r="B58" s="27" t="s">
        <v>1025</v>
      </c>
      <c r="C58" s="27"/>
      <c r="D58" s="27"/>
      <c r="E58" s="27"/>
      <c r="F58" s="27"/>
    </row>
    <row r="59" spans="1:15" x14ac:dyDescent="0.3">
      <c r="B59" s="27"/>
      <c r="C59" s="27"/>
      <c r="D59" s="27"/>
      <c r="E59" s="27"/>
      <c r="F59" s="27"/>
    </row>
    <row r="63" spans="1:15" x14ac:dyDescent="0.3">
      <c r="M63" s="2" t="s">
        <v>1009</v>
      </c>
      <c r="N63" t="s">
        <v>1024</v>
      </c>
      <c r="O63" t="s">
        <v>1042</v>
      </c>
    </row>
    <row r="64" spans="1:15" x14ac:dyDescent="0.3">
      <c r="M64" t="s">
        <v>3</v>
      </c>
      <c r="N64" s="15">
        <v>0.36625514403292181</v>
      </c>
      <c r="O64" s="28">
        <v>178</v>
      </c>
    </row>
    <row r="65" spans="1:15" x14ac:dyDescent="0.3">
      <c r="M65" t="s">
        <v>13</v>
      </c>
      <c r="N65" s="15">
        <v>0.43621399176954734</v>
      </c>
      <c r="O65" s="28">
        <v>212</v>
      </c>
    </row>
    <row r="66" spans="1:15" x14ac:dyDescent="0.3">
      <c r="M66" t="s">
        <v>8</v>
      </c>
      <c r="N66" s="15">
        <v>0.19753086419753085</v>
      </c>
      <c r="O66" s="28">
        <v>96</v>
      </c>
    </row>
    <row r="68" spans="1:15" x14ac:dyDescent="0.3">
      <c r="M68" t="str">
        <f>M63</f>
        <v>Oppurtunity.Region</v>
      </c>
      <c r="N68" t="str">
        <f>N63</f>
        <v>Count of Opportunity ID</v>
      </c>
    </row>
    <row r="69" spans="1:15" x14ac:dyDescent="0.3">
      <c r="M69" t="str">
        <f>M64</f>
        <v>Central</v>
      </c>
      <c r="N69" s="16">
        <f>GETPIVOTDATA("Count of Opportunity ID",$M$63,"Oppurtunity.Region","Central")</f>
        <v>0.36625514403292181</v>
      </c>
      <c r="O69" s="17">
        <f>GETPIVOTDATA("Count of Opportunity ID2",$M$63,"Oppurtunity.Region","Central")</f>
        <v>178</v>
      </c>
    </row>
    <row r="70" spans="1:15" ht="15" x14ac:dyDescent="0.3">
      <c r="A70" t="s">
        <v>1</v>
      </c>
      <c r="B70" t="s">
        <v>1020</v>
      </c>
      <c r="C70" t="s">
        <v>1024</v>
      </c>
      <c r="D70" s="6" t="s">
        <v>1026</v>
      </c>
      <c r="M70" t="str">
        <f>M65</f>
        <v>East</v>
      </c>
      <c r="N70" s="16">
        <f>GETPIVOTDATA("Count of Opportunity ID",$M$63,"Oppurtunity.Region","East")</f>
        <v>0.43621399176954734</v>
      </c>
      <c r="O70" s="17">
        <f>GETPIVOTDATA("Count of Opportunity ID2",$M$63,"Oppurtunity.Region","East")</f>
        <v>212</v>
      </c>
    </row>
    <row r="71" spans="1:15" x14ac:dyDescent="0.3">
      <c r="A71" t="s">
        <v>3</v>
      </c>
      <c r="B71">
        <v>786462100</v>
      </c>
      <c r="C71">
        <v>178</v>
      </c>
      <c r="D71">
        <f>B71/C71</f>
        <v>4418326.4044943824</v>
      </c>
      <c r="M71" t="str">
        <f>M66</f>
        <v>West</v>
      </c>
      <c r="N71" s="16">
        <f>GETPIVOTDATA("Count of Opportunity ID",$M$63,"Oppurtunity.Region","West")</f>
        <v>0.19753086419753085</v>
      </c>
      <c r="O71" s="17">
        <f>GETPIVOTDATA("Count of Opportunity ID2",$M$63,"Oppurtunity.Region","West")</f>
        <v>96</v>
      </c>
    </row>
    <row r="72" spans="1:15" x14ac:dyDescent="0.3">
      <c r="A72" t="s">
        <v>13</v>
      </c>
      <c r="B72">
        <v>884509123</v>
      </c>
      <c r="C72">
        <v>212</v>
      </c>
      <c r="D72">
        <f>B72/C72</f>
        <v>4172212.8443396227</v>
      </c>
    </row>
    <row r="73" spans="1:15" x14ac:dyDescent="0.3">
      <c r="A73" t="s">
        <v>8</v>
      </c>
      <c r="B73">
        <v>439933904</v>
      </c>
      <c r="C73">
        <v>96</v>
      </c>
      <c r="D73">
        <f>B73/C73</f>
        <v>4582644.833333333</v>
      </c>
    </row>
    <row r="74" spans="1:15" x14ac:dyDescent="0.3">
      <c r="A74" t="s">
        <v>1019</v>
      </c>
      <c r="B74">
        <v>2110905127</v>
      </c>
      <c r="C74">
        <v>486</v>
      </c>
      <c r="D74">
        <f>B74/C74</f>
        <v>4343426.1872427985</v>
      </c>
    </row>
    <row r="79" spans="1:15" x14ac:dyDescent="0.3">
      <c r="A79" s="2" t="s">
        <v>1024</v>
      </c>
      <c r="B79" s="2" t="s">
        <v>1022</v>
      </c>
    </row>
    <row r="80" spans="1:15" x14ac:dyDescent="0.3">
      <c r="A80" s="2" t="s">
        <v>1018</v>
      </c>
      <c r="B80" t="s">
        <v>199</v>
      </c>
      <c r="C80" t="s">
        <v>195</v>
      </c>
      <c r="D80" t="s">
        <v>198</v>
      </c>
      <c r="E80" t="s">
        <v>196</v>
      </c>
      <c r="F80" t="s">
        <v>197</v>
      </c>
      <c r="G80" t="s">
        <v>1019</v>
      </c>
    </row>
    <row r="81" spans="1:27" x14ac:dyDescent="0.3">
      <c r="A81" s="3" t="s">
        <v>3</v>
      </c>
      <c r="B81" s="28">
        <v>3</v>
      </c>
      <c r="C81" s="28">
        <v>104</v>
      </c>
      <c r="D81" s="28">
        <v>19</v>
      </c>
      <c r="E81" s="28">
        <v>32</v>
      </c>
      <c r="F81" s="28">
        <v>20</v>
      </c>
      <c r="G81" s="28">
        <v>178</v>
      </c>
    </row>
    <row r="82" spans="1:27" x14ac:dyDescent="0.3">
      <c r="A82" s="3" t="s">
        <v>13</v>
      </c>
      <c r="B82" s="28">
        <v>5</v>
      </c>
      <c r="C82" s="28">
        <v>118</v>
      </c>
      <c r="D82" s="28">
        <v>12</v>
      </c>
      <c r="E82" s="28">
        <v>39</v>
      </c>
      <c r="F82" s="28">
        <v>38</v>
      </c>
      <c r="G82" s="28">
        <v>212</v>
      </c>
    </row>
    <row r="83" spans="1:27" x14ac:dyDescent="0.3">
      <c r="A83" s="3" t="s">
        <v>8</v>
      </c>
      <c r="B83" s="28">
        <v>6</v>
      </c>
      <c r="C83" s="28">
        <v>45</v>
      </c>
      <c r="D83" s="28">
        <v>6</v>
      </c>
      <c r="E83" s="28">
        <v>23</v>
      </c>
      <c r="F83" s="28">
        <v>16</v>
      </c>
      <c r="G83" s="28">
        <v>96</v>
      </c>
    </row>
    <row r="84" spans="1:27" x14ac:dyDescent="0.3">
      <c r="A84" s="3" t="s">
        <v>1019</v>
      </c>
      <c r="B84" s="28">
        <v>14</v>
      </c>
      <c r="C84" s="28">
        <v>267</v>
      </c>
      <c r="D84" s="28">
        <v>37</v>
      </c>
      <c r="E84" s="28">
        <v>94</v>
      </c>
      <c r="F84" s="28">
        <v>74</v>
      </c>
      <c r="G84" s="28">
        <v>486</v>
      </c>
    </row>
    <row r="88" spans="1:27" x14ac:dyDescent="0.3">
      <c r="B88" s="27" t="s">
        <v>1027</v>
      </c>
      <c r="C88" s="27"/>
    </row>
    <row r="89" spans="1:27" x14ac:dyDescent="0.3">
      <c r="B89" s="27"/>
      <c r="C89" s="27"/>
    </row>
    <row r="92" spans="1:27" x14ac:dyDescent="0.3">
      <c r="A92" s="2" t="s">
        <v>1020</v>
      </c>
      <c r="B92" s="2" t="s">
        <v>1022</v>
      </c>
    </row>
    <row r="93" spans="1:27" x14ac:dyDescent="0.3">
      <c r="A93" s="2" t="s">
        <v>1018</v>
      </c>
      <c r="B93" t="s">
        <v>170</v>
      </c>
      <c r="C93" t="s">
        <v>191</v>
      </c>
      <c r="D93" t="s">
        <v>171</v>
      </c>
      <c r="E93" t="s">
        <v>192</v>
      </c>
      <c r="F93" t="s">
        <v>172</v>
      </c>
      <c r="G93" t="s">
        <v>193</v>
      </c>
      <c r="H93" t="s">
        <v>173</v>
      </c>
      <c r="I93" t="s">
        <v>174</v>
      </c>
      <c r="J93" t="s">
        <v>175</v>
      </c>
      <c r="K93" t="s">
        <v>176</v>
      </c>
      <c r="L93" t="s">
        <v>177</v>
      </c>
      <c r="M93" t="s">
        <v>178</v>
      </c>
      <c r="N93" t="s">
        <v>179</v>
      </c>
      <c r="O93" t="s">
        <v>180</v>
      </c>
      <c r="P93" t="s">
        <v>181</v>
      </c>
      <c r="Q93" t="s">
        <v>194</v>
      </c>
      <c r="R93" t="s">
        <v>182</v>
      </c>
      <c r="S93" t="s">
        <v>183</v>
      </c>
      <c r="T93" t="s">
        <v>184</v>
      </c>
      <c r="U93" t="s">
        <v>185</v>
      </c>
      <c r="V93" t="s">
        <v>186</v>
      </c>
      <c r="W93" t="s">
        <v>187</v>
      </c>
      <c r="X93" t="s">
        <v>188</v>
      </c>
      <c r="Y93" t="s">
        <v>189</v>
      </c>
      <c r="Z93" t="s">
        <v>190</v>
      </c>
      <c r="AA93" t="s">
        <v>1019</v>
      </c>
    </row>
    <row r="94" spans="1:27" x14ac:dyDescent="0.3">
      <c r="A94" s="3">
        <v>2015</v>
      </c>
      <c r="B94" s="28">
        <v>95598664</v>
      </c>
      <c r="C94" s="28">
        <v>118347813</v>
      </c>
      <c r="D94" s="28">
        <v>109672968</v>
      </c>
      <c r="E94" s="28">
        <v>81269298</v>
      </c>
      <c r="F94" s="28">
        <v>52521191</v>
      </c>
      <c r="G94" s="28">
        <v>71322179</v>
      </c>
      <c r="H94" s="28">
        <v>40790405</v>
      </c>
      <c r="I94" s="28">
        <v>96356041</v>
      </c>
      <c r="J94" s="28">
        <v>86631078</v>
      </c>
      <c r="K94" s="28">
        <v>64576195</v>
      </c>
      <c r="L94" s="28">
        <v>49609443</v>
      </c>
      <c r="M94" s="28">
        <v>92931924</v>
      </c>
      <c r="N94" s="28">
        <v>105667917</v>
      </c>
      <c r="O94" s="28">
        <v>67383332</v>
      </c>
      <c r="P94" s="28">
        <v>99300981</v>
      </c>
      <c r="Q94" s="28">
        <v>97905814</v>
      </c>
      <c r="R94" s="28">
        <v>91127075</v>
      </c>
      <c r="S94" s="28">
        <v>25872264</v>
      </c>
      <c r="T94" s="28">
        <v>78646569</v>
      </c>
      <c r="U94" s="28">
        <v>78525579</v>
      </c>
      <c r="V94" s="28">
        <v>81749565</v>
      </c>
      <c r="W94" s="28">
        <v>88729786</v>
      </c>
      <c r="X94" s="28">
        <v>159562527</v>
      </c>
      <c r="Y94" s="28">
        <v>90583680</v>
      </c>
      <c r="Z94" s="28">
        <v>86222839</v>
      </c>
      <c r="AA94" s="28">
        <v>2110905127</v>
      </c>
    </row>
    <row r="95" spans="1:27" x14ac:dyDescent="0.3">
      <c r="A95" s="4" t="s">
        <v>511</v>
      </c>
      <c r="B95" s="28">
        <v>22155750</v>
      </c>
      <c r="C95" s="28">
        <v>14061253</v>
      </c>
      <c r="D95" s="28"/>
      <c r="E95" s="28"/>
      <c r="F95" s="28">
        <v>538200</v>
      </c>
      <c r="G95" s="28">
        <v>12121368</v>
      </c>
      <c r="H95" s="28"/>
      <c r="I95" s="28">
        <v>7548011</v>
      </c>
      <c r="J95" s="28">
        <v>12837180</v>
      </c>
      <c r="K95" s="28">
        <v>12156466</v>
      </c>
      <c r="L95" s="28"/>
      <c r="M95" s="28">
        <v>22866407</v>
      </c>
      <c r="N95" s="28"/>
      <c r="O95" s="28"/>
      <c r="P95" s="28">
        <v>11850865</v>
      </c>
      <c r="Q95" s="28">
        <v>8218140</v>
      </c>
      <c r="R95" s="28"/>
      <c r="S95" s="28"/>
      <c r="T95" s="28">
        <v>3032899</v>
      </c>
      <c r="U95" s="28"/>
      <c r="V95" s="28"/>
      <c r="W95" s="28">
        <v>8812915</v>
      </c>
      <c r="X95" s="28">
        <v>15885551</v>
      </c>
      <c r="Y95" s="28">
        <v>3163715</v>
      </c>
      <c r="Z95" s="28">
        <v>1888265</v>
      </c>
      <c r="AA95" s="28">
        <v>157136985</v>
      </c>
    </row>
    <row r="96" spans="1:27" x14ac:dyDescent="0.3">
      <c r="A96" s="4" t="s">
        <v>509</v>
      </c>
      <c r="B96" s="28"/>
      <c r="C96" s="28">
        <v>10669713</v>
      </c>
      <c r="D96" s="28">
        <v>22268870</v>
      </c>
      <c r="E96" s="28"/>
      <c r="F96" s="28"/>
      <c r="G96" s="28">
        <v>668168</v>
      </c>
      <c r="H96" s="28">
        <v>9585488</v>
      </c>
      <c r="I96" s="28">
        <v>5948001</v>
      </c>
      <c r="J96" s="28">
        <v>7866291</v>
      </c>
      <c r="K96" s="28">
        <v>7576725</v>
      </c>
      <c r="L96" s="28"/>
      <c r="M96" s="28"/>
      <c r="N96" s="28">
        <v>782755</v>
      </c>
      <c r="O96" s="28">
        <v>1139244</v>
      </c>
      <c r="P96" s="28">
        <v>7186824</v>
      </c>
      <c r="Q96" s="28">
        <v>85763</v>
      </c>
      <c r="R96" s="28">
        <v>9801488</v>
      </c>
      <c r="S96" s="28"/>
      <c r="T96" s="28">
        <v>7787871</v>
      </c>
      <c r="U96" s="28"/>
      <c r="V96" s="28">
        <v>6798309</v>
      </c>
      <c r="W96" s="28"/>
      <c r="X96" s="28">
        <v>3475768</v>
      </c>
      <c r="Y96" s="28">
        <v>4971807</v>
      </c>
      <c r="Z96" s="28">
        <v>2540740</v>
      </c>
      <c r="AA96" s="28">
        <v>109153825</v>
      </c>
    </row>
    <row r="97" spans="1:27" x14ac:dyDescent="0.3">
      <c r="A97" s="4" t="s">
        <v>512</v>
      </c>
      <c r="B97" s="28">
        <v>11115632</v>
      </c>
      <c r="C97" s="28"/>
      <c r="D97" s="28">
        <v>9347485</v>
      </c>
      <c r="E97" s="28">
        <v>15204095</v>
      </c>
      <c r="F97" s="28">
        <v>5659972</v>
      </c>
      <c r="G97" s="28">
        <v>13711012</v>
      </c>
      <c r="H97" s="28">
        <v>436862</v>
      </c>
      <c r="I97" s="28">
        <v>7170770</v>
      </c>
      <c r="J97" s="28">
        <v>4295490</v>
      </c>
      <c r="K97" s="28"/>
      <c r="L97" s="28">
        <v>349382</v>
      </c>
      <c r="M97" s="28"/>
      <c r="N97" s="28">
        <v>4479648</v>
      </c>
      <c r="O97" s="28">
        <v>1828155</v>
      </c>
      <c r="P97" s="28">
        <v>6013531</v>
      </c>
      <c r="Q97" s="28">
        <v>13648029</v>
      </c>
      <c r="R97" s="28">
        <v>4644239</v>
      </c>
      <c r="S97" s="28"/>
      <c r="T97" s="28">
        <v>3307591</v>
      </c>
      <c r="U97" s="28">
        <v>14090406</v>
      </c>
      <c r="V97" s="28">
        <v>7750823</v>
      </c>
      <c r="W97" s="28">
        <v>10190161</v>
      </c>
      <c r="X97" s="28">
        <v>8905440</v>
      </c>
      <c r="Y97" s="28">
        <v>4699076</v>
      </c>
      <c r="Z97" s="28">
        <v>7263268</v>
      </c>
      <c r="AA97" s="28">
        <v>154111067</v>
      </c>
    </row>
    <row r="98" spans="1:27" x14ac:dyDescent="0.3">
      <c r="A98" s="4" t="s">
        <v>510</v>
      </c>
      <c r="B98" s="28">
        <v>9370509</v>
      </c>
      <c r="C98" s="28">
        <v>16669260</v>
      </c>
      <c r="D98" s="28">
        <v>6258818</v>
      </c>
      <c r="E98" s="28">
        <v>19523599</v>
      </c>
      <c r="F98" s="28">
        <v>1453601</v>
      </c>
      <c r="G98" s="28"/>
      <c r="H98" s="28"/>
      <c r="I98" s="28"/>
      <c r="J98" s="28">
        <v>3990917</v>
      </c>
      <c r="K98" s="28">
        <v>8241291</v>
      </c>
      <c r="L98" s="28">
        <v>5687381</v>
      </c>
      <c r="M98" s="28">
        <v>13103802</v>
      </c>
      <c r="N98" s="28">
        <v>200538</v>
      </c>
      <c r="O98" s="28">
        <v>9690684</v>
      </c>
      <c r="P98" s="28">
        <v>4441789</v>
      </c>
      <c r="Q98" s="28"/>
      <c r="R98" s="28">
        <v>9730252</v>
      </c>
      <c r="S98" s="28"/>
      <c r="T98" s="28">
        <v>7788533</v>
      </c>
      <c r="U98" s="28">
        <v>5691292</v>
      </c>
      <c r="V98" s="28">
        <v>8089052</v>
      </c>
      <c r="W98" s="28">
        <v>20478830</v>
      </c>
      <c r="X98" s="28">
        <v>14963842</v>
      </c>
      <c r="Y98" s="28"/>
      <c r="Z98" s="28">
        <v>7350235</v>
      </c>
      <c r="AA98" s="28">
        <v>172724225</v>
      </c>
    </row>
    <row r="99" spans="1:27" x14ac:dyDescent="0.3">
      <c r="A99" s="4" t="s">
        <v>68</v>
      </c>
      <c r="B99" s="28">
        <v>7499745</v>
      </c>
      <c r="C99" s="28">
        <v>15361678</v>
      </c>
      <c r="D99" s="28">
        <v>22127997</v>
      </c>
      <c r="E99" s="28">
        <v>1513800</v>
      </c>
      <c r="F99" s="28">
        <v>11934504</v>
      </c>
      <c r="G99" s="28">
        <v>6661729</v>
      </c>
      <c r="H99" s="28">
        <v>6695862</v>
      </c>
      <c r="I99" s="28">
        <v>8478832</v>
      </c>
      <c r="J99" s="28">
        <v>19239635</v>
      </c>
      <c r="K99" s="28">
        <v>3127039</v>
      </c>
      <c r="L99" s="28">
        <v>4532970</v>
      </c>
      <c r="M99" s="28">
        <v>1541529</v>
      </c>
      <c r="N99" s="28">
        <v>17262820</v>
      </c>
      <c r="O99" s="28">
        <v>657213</v>
      </c>
      <c r="P99" s="28">
        <v>10872034</v>
      </c>
      <c r="Q99" s="28">
        <v>2401584</v>
      </c>
      <c r="R99" s="28"/>
      <c r="S99" s="28">
        <v>7144439</v>
      </c>
      <c r="T99" s="28">
        <v>11893181</v>
      </c>
      <c r="U99" s="28">
        <v>25005107</v>
      </c>
      <c r="V99" s="28"/>
      <c r="W99" s="28">
        <v>7226494</v>
      </c>
      <c r="X99" s="28">
        <v>12017600</v>
      </c>
      <c r="Y99" s="28">
        <v>11678946</v>
      </c>
      <c r="Z99" s="28">
        <v>15271814</v>
      </c>
      <c r="AA99" s="28">
        <v>230146552</v>
      </c>
    </row>
    <row r="100" spans="1:27" x14ac:dyDescent="0.3">
      <c r="A100" s="4" t="s">
        <v>70</v>
      </c>
      <c r="B100" s="28">
        <v>10059839</v>
      </c>
      <c r="C100" s="28">
        <v>11856761</v>
      </c>
      <c r="D100" s="28">
        <v>573880</v>
      </c>
      <c r="E100" s="28">
        <v>17408324</v>
      </c>
      <c r="F100" s="28"/>
      <c r="G100" s="28">
        <v>3700117</v>
      </c>
      <c r="H100" s="28">
        <v>15390027</v>
      </c>
      <c r="I100" s="28">
        <v>15272382</v>
      </c>
      <c r="J100" s="28">
        <v>11723770</v>
      </c>
      <c r="K100" s="28">
        <v>1712142</v>
      </c>
      <c r="L100" s="28">
        <v>13464996</v>
      </c>
      <c r="M100" s="28">
        <v>16699929</v>
      </c>
      <c r="N100" s="28">
        <v>36055591</v>
      </c>
      <c r="O100" s="28">
        <v>9225596</v>
      </c>
      <c r="P100" s="28">
        <v>2702266</v>
      </c>
      <c r="Q100" s="28">
        <v>17585991</v>
      </c>
      <c r="R100" s="28">
        <v>28565698</v>
      </c>
      <c r="S100" s="28">
        <v>3211978</v>
      </c>
      <c r="T100" s="28">
        <v>1174333</v>
      </c>
      <c r="U100" s="28">
        <v>17622630</v>
      </c>
      <c r="V100" s="28">
        <v>18910639</v>
      </c>
      <c r="W100" s="28">
        <v>9318004</v>
      </c>
      <c r="X100" s="28">
        <v>5246904</v>
      </c>
      <c r="Y100" s="28">
        <v>16454246</v>
      </c>
      <c r="Z100" s="28">
        <v>4022403</v>
      </c>
      <c r="AA100" s="28">
        <v>287958446</v>
      </c>
    </row>
    <row r="101" spans="1:27" x14ac:dyDescent="0.3">
      <c r="A101" s="4" t="s">
        <v>69</v>
      </c>
      <c r="B101" s="28"/>
      <c r="C101" s="28">
        <v>19857946</v>
      </c>
      <c r="D101" s="28">
        <v>8477946</v>
      </c>
      <c r="E101" s="28">
        <v>5145971</v>
      </c>
      <c r="F101" s="28"/>
      <c r="G101" s="28">
        <v>16431406</v>
      </c>
      <c r="H101" s="28"/>
      <c r="I101" s="28">
        <v>13818364</v>
      </c>
      <c r="J101" s="28">
        <v>10897577</v>
      </c>
      <c r="K101" s="28"/>
      <c r="L101" s="28">
        <v>7195385</v>
      </c>
      <c r="M101" s="28">
        <v>2905585</v>
      </c>
      <c r="N101" s="28">
        <v>11502209</v>
      </c>
      <c r="O101" s="28">
        <v>6312394</v>
      </c>
      <c r="P101" s="28">
        <v>23725</v>
      </c>
      <c r="Q101" s="28">
        <v>3334564</v>
      </c>
      <c r="R101" s="28">
        <v>16179370</v>
      </c>
      <c r="S101" s="28"/>
      <c r="T101" s="28"/>
      <c r="U101" s="28">
        <v>66995</v>
      </c>
      <c r="V101" s="28"/>
      <c r="W101" s="28">
        <v>2396103</v>
      </c>
      <c r="X101" s="28">
        <v>33861099</v>
      </c>
      <c r="Y101" s="28">
        <v>6818253</v>
      </c>
      <c r="Z101" s="28">
        <v>7940991</v>
      </c>
      <c r="AA101" s="28">
        <v>173165883</v>
      </c>
    </row>
    <row r="102" spans="1:27" x14ac:dyDescent="0.3">
      <c r="A102" s="4" t="s">
        <v>513</v>
      </c>
      <c r="B102" s="28"/>
      <c r="C102" s="28"/>
      <c r="D102" s="28"/>
      <c r="E102" s="28">
        <v>3740355</v>
      </c>
      <c r="F102" s="28">
        <v>4419265</v>
      </c>
      <c r="G102" s="28"/>
      <c r="H102" s="28"/>
      <c r="I102" s="28">
        <v>8054791</v>
      </c>
      <c r="J102" s="28">
        <v>7306255</v>
      </c>
      <c r="K102" s="28">
        <v>12150370</v>
      </c>
      <c r="L102" s="28">
        <v>425004</v>
      </c>
      <c r="M102" s="28"/>
      <c r="N102" s="28"/>
      <c r="O102" s="28">
        <v>747030</v>
      </c>
      <c r="P102" s="28">
        <v>3673659</v>
      </c>
      <c r="Q102" s="28">
        <v>25888836</v>
      </c>
      <c r="R102" s="28"/>
      <c r="S102" s="28">
        <v>5786740</v>
      </c>
      <c r="T102" s="28"/>
      <c r="U102" s="28">
        <v>1315100</v>
      </c>
      <c r="V102" s="28">
        <v>24330872</v>
      </c>
      <c r="W102" s="28">
        <v>6703829</v>
      </c>
      <c r="X102" s="28">
        <v>11512034</v>
      </c>
      <c r="Y102" s="28">
        <v>9423322</v>
      </c>
      <c r="Z102" s="28"/>
      <c r="AA102" s="28">
        <v>125477462</v>
      </c>
    </row>
    <row r="103" spans="1:27" x14ac:dyDescent="0.3">
      <c r="A103" s="4" t="s">
        <v>507</v>
      </c>
      <c r="B103" s="28">
        <v>4152171</v>
      </c>
      <c r="C103" s="28">
        <v>11835783</v>
      </c>
      <c r="D103" s="28">
        <v>6628642</v>
      </c>
      <c r="E103" s="28"/>
      <c r="F103" s="28">
        <v>9126252</v>
      </c>
      <c r="G103" s="28">
        <v>3944956</v>
      </c>
      <c r="H103" s="28"/>
      <c r="I103" s="28"/>
      <c r="J103" s="28"/>
      <c r="K103" s="28">
        <v>4946300</v>
      </c>
      <c r="L103" s="28">
        <v>9777612</v>
      </c>
      <c r="M103" s="28">
        <v>19815343</v>
      </c>
      <c r="N103" s="28">
        <v>10122063</v>
      </c>
      <c r="O103" s="28"/>
      <c r="P103" s="28">
        <v>9768746</v>
      </c>
      <c r="Q103" s="28">
        <v>1456290</v>
      </c>
      <c r="R103" s="28">
        <v>7768660</v>
      </c>
      <c r="S103" s="28"/>
      <c r="T103" s="28">
        <v>12477336</v>
      </c>
      <c r="U103" s="28"/>
      <c r="V103" s="28">
        <v>1264619</v>
      </c>
      <c r="W103" s="28"/>
      <c r="X103" s="28">
        <v>10420204</v>
      </c>
      <c r="Y103" s="28">
        <v>9254244</v>
      </c>
      <c r="Z103" s="28"/>
      <c r="AA103" s="28">
        <v>132759221</v>
      </c>
    </row>
    <row r="104" spans="1:27" x14ac:dyDescent="0.3">
      <c r="A104" s="4" t="s">
        <v>505</v>
      </c>
      <c r="B104" s="28">
        <v>6987102</v>
      </c>
      <c r="C104" s="28"/>
      <c r="D104" s="28"/>
      <c r="E104" s="28">
        <v>4716033</v>
      </c>
      <c r="F104" s="28">
        <v>165120</v>
      </c>
      <c r="G104" s="28">
        <v>1243383</v>
      </c>
      <c r="H104" s="28"/>
      <c r="I104" s="28">
        <v>2661279</v>
      </c>
      <c r="J104" s="28">
        <v>8473963</v>
      </c>
      <c r="K104" s="28"/>
      <c r="L104" s="28">
        <v>2696026</v>
      </c>
      <c r="M104" s="28">
        <v>9597240</v>
      </c>
      <c r="N104" s="28">
        <v>3503207</v>
      </c>
      <c r="O104" s="28">
        <v>10342876</v>
      </c>
      <c r="P104" s="28">
        <v>17143917</v>
      </c>
      <c r="Q104" s="28">
        <v>925945</v>
      </c>
      <c r="R104" s="28"/>
      <c r="S104" s="28"/>
      <c r="T104" s="28">
        <v>6329746</v>
      </c>
      <c r="U104" s="28"/>
      <c r="V104" s="28">
        <v>236607</v>
      </c>
      <c r="W104" s="28"/>
      <c r="X104" s="28">
        <v>4082052</v>
      </c>
      <c r="Y104" s="28"/>
      <c r="Z104" s="28">
        <v>6775256</v>
      </c>
      <c r="AA104" s="28">
        <v>85879752</v>
      </c>
    </row>
    <row r="105" spans="1:27" x14ac:dyDescent="0.3">
      <c r="A105" s="4" t="s">
        <v>506</v>
      </c>
      <c r="B105" s="28">
        <v>7369599</v>
      </c>
      <c r="C105" s="28"/>
      <c r="D105" s="28">
        <v>18838591</v>
      </c>
      <c r="E105" s="28">
        <v>10142938</v>
      </c>
      <c r="F105" s="28"/>
      <c r="G105" s="28">
        <v>6203732</v>
      </c>
      <c r="H105" s="28"/>
      <c r="I105" s="28"/>
      <c r="J105" s="28"/>
      <c r="K105" s="28">
        <v>2475475</v>
      </c>
      <c r="L105" s="28">
        <v>448423</v>
      </c>
      <c r="M105" s="28">
        <v>2558630</v>
      </c>
      <c r="N105" s="28">
        <v>21759086</v>
      </c>
      <c r="O105" s="28"/>
      <c r="P105" s="28">
        <v>17604760</v>
      </c>
      <c r="Q105" s="28">
        <v>8950356</v>
      </c>
      <c r="R105" s="28"/>
      <c r="S105" s="28"/>
      <c r="T105" s="28"/>
      <c r="U105" s="28"/>
      <c r="V105" s="28"/>
      <c r="W105" s="28">
        <v>648356</v>
      </c>
      <c r="X105" s="28">
        <v>28114819</v>
      </c>
      <c r="Y105" s="28">
        <v>3472976</v>
      </c>
      <c r="Z105" s="28"/>
      <c r="AA105" s="28">
        <v>128587741</v>
      </c>
    </row>
    <row r="106" spans="1:27" x14ac:dyDescent="0.3">
      <c r="A106" s="4" t="s">
        <v>508</v>
      </c>
      <c r="B106" s="28">
        <v>16888317</v>
      </c>
      <c r="C106" s="28">
        <v>18035419</v>
      </c>
      <c r="D106" s="28">
        <v>15150739</v>
      </c>
      <c r="E106" s="28">
        <v>3874183</v>
      </c>
      <c r="F106" s="28">
        <v>19224277</v>
      </c>
      <c r="G106" s="28">
        <v>6636308</v>
      </c>
      <c r="H106" s="28">
        <v>8682166</v>
      </c>
      <c r="I106" s="28">
        <v>27403611</v>
      </c>
      <c r="J106" s="28"/>
      <c r="K106" s="28">
        <v>12190387</v>
      </c>
      <c r="L106" s="28">
        <v>5032264</v>
      </c>
      <c r="M106" s="28">
        <v>3843459</v>
      </c>
      <c r="N106" s="28"/>
      <c r="O106" s="28">
        <v>27440140</v>
      </c>
      <c r="P106" s="28">
        <v>8018865</v>
      </c>
      <c r="Q106" s="28">
        <v>15410316</v>
      </c>
      <c r="R106" s="28">
        <v>14437368</v>
      </c>
      <c r="S106" s="28">
        <v>9729107</v>
      </c>
      <c r="T106" s="28">
        <v>24855079</v>
      </c>
      <c r="U106" s="28">
        <v>14734049</v>
      </c>
      <c r="V106" s="28">
        <v>14368644</v>
      </c>
      <c r="W106" s="28">
        <v>22955094</v>
      </c>
      <c r="X106" s="28">
        <v>11077214</v>
      </c>
      <c r="Y106" s="28">
        <v>20647095</v>
      </c>
      <c r="Z106" s="28">
        <v>33169867</v>
      </c>
      <c r="AA106" s="28">
        <v>353803968</v>
      </c>
    </row>
    <row r="107" spans="1:27" x14ac:dyDescent="0.3">
      <c r="A107" s="3" t="s">
        <v>1019</v>
      </c>
      <c r="B107" s="28">
        <v>95598664</v>
      </c>
      <c r="C107" s="28">
        <v>118347813</v>
      </c>
      <c r="D107" s="28">
        <v>109672968</v>
      </c>
      <c r="E107" s="28">
        <v>81269298</v>
      </c>
      <c r="F107" s="28">
        <v>52521191</v>
      </c>
      <c r="G107" s="28">
        <v>71322179</v>
      </c>
      <c r="H107" s="28">
        <v>40790405</v>
      </c>
      <c r="I107" s="28">
        <v>96356041</v>
      </c>
      <c r="J107" s="28">
        <v>86631078</v>
      </c>
      <c r="K107" s="28">
        <v>64576195</v>
      </c>
      <c r="L107" s="28">
        <v>49609443</v>
      </c>
      <c r="M107" s="28">
        <v>92931924</v>
      </c>
      <c r="N107" s="28">
        <v>105667917</v>
      </c>
      <c r="O107" s="28">
        <v>67383332</v>
      </c>
      <c r="P107" s="28">
        <v>99300981</v>
      </c>
      <c r="Q107" s="28">
        <v>97905814</v>
      </c>
      <c r="R107" s="28">
        <v>91127075</v>
      </c>
      <c r="S107" s="28">
        <v>25872264</v>
      </c>
      <c r="T107" s="28">
        <v>78646569</v>
      </c>
      <c r="U107" s="28">
        <v>78525579</v>
      </c>
      <c r="V107" s="28">
        <v>81749565</v>
      </c>
      <c r="W107" s="28">
        <v>88729786</v>
      </c>
      <c r="X107" s="28">
        <v>159562527</v>
      </c>
      <c r="Y107" s="28">
        <v>90583680</v>
      </c>
      <c r="Z107" s="28">
        <v>86222839</v>
      </c>
      <c r="AA107" s="28">
        <v>2110905127</v>
      </c>
    </row>
    <row r="109" spans="1:27" x14ac:dyDescent="0.3">
      <c r="A109" s="27" t="s">
        <v>1028</v>
      </c>
      <c r="B109" s="27"/>
    </row>
    <row r="110" spans="1:27" x14ac:dyDescent="0.3">
      <c r="A110" s="27"/>
      <c r="B110" s="27"/>
    </row>
    <row r="122" spans="1:2" x14ac:dyDescent="0.3">
      <c r="A122" s="2" t="s">
        <v>1012</v>
      </c>
      <c r="B122" t="s">
        <v>72</v>
      </c>
    </row>
    <row r="124" spans="1:2" x14ac:dyDescent="0.3">
      <c r="A124" s="2" t="s">
        <v>1031</v>
      </c>
      <c r="B124" t="s">
        <v>1030</v>
      </c>
    </row>
    <row r="125" spans="1:2" x14ac:dyDescent="0.3">
      <c r="A125" s="3" t="s">
        <v>71</v>
      </c>
      <c r="B125" s="28">
        <v>2.05761316872428E-3</v>
      </c>
    </row>
    <row r="126" spans="1:2" x14ac:dyDescent="0.3">
      <c r="A126" s="3" t="s">
        <v>73</v>
      </c>
      <c r="B126" s="28">
        <v>2.05761316872428E-3</v>
      </c>
    </row>
    <row r="127" spans="1:2" x14ac:dyDescent="0.3">
      <c r="A127" s="3" t="s">
        <v>74</v>
      </c>
      <c r="B127" s="28">
        <v>4.11522633744856E-3</v>
      </c>
    </row>
    <row r="128" spans="1:2" x14ac:dyDescent="0.3">
      <c r="A128" s="3" t="s">
        <v>75</v>
      </c>
      <c r="B128" s="28">
        <v>2.05761316872428E-3</v>
      </c>
    </row>
    <row r="129" spans="1:2" x14ac:dyDescent="0.3">
      <c r="A129" s="3" t="s">
        <v>76</v>
      </c>
      <c r="B129" s="28">
        <v>2.05761316872428E-3</v>
      </c>
    </row>
    <row r="130" spans="1:2" x14ac:dyDescent="0.3">
      <c r="A130" s="3" t="s">
        <v>77</v>
      </c>
      <c r="B130" s="28">
        <v>4.11522633744856E-3</v>
      </c>
    </row>
    <row r="131" spans="1:2" x14ac:dyDescent="0.3">
      <c r="A131" s="3" t="s">
        <v>78</v>
      </c>
      <c r="B131" s="28">
        <v>8.23045267489712E-3</v>
      </c>
    </row>
    <row r="132" spans="1:2" x14ac:dyDescent="0.3">
      <c r="A132" s="3" t="s">
        <v>79</v>
      </c>
      <c r="B132" s="28">
        <v>4.11522633744856E-3</v>
      </c>
    </row>
    <row r="133" spans="1:2" x14ac:dyDescent="0.3">
      <c r="A133" s="3" t="s">
        <v>80</v>
      </c>
      <c r="B133" s="28">
        <v>4.11522633744856E-3</v>
      </c>
    </row>
    <row r="134" spans="1:2" x14ac:dyDescent="0.3">
      <c r="A134" s="3" t="s">
        <v>81</v>
      </c>
      <c r="B134" s="28">
        <v>4.11522633744856E-3</v>
      </c>
    </row>
    <row r="135" spans="1:2" x14ac:dyDescent="0.3">
      <c r="A135" s="3" t="s">
        <v>82</v>
      </c>
      <c r="B135" s="28">
        <v>4.11522633744856E-3</v>
      </c>
    </row>
    <row r="136" spans="1:2" x14ac:dyDescent="0.3">
      <c r="A136" s="3" t="s">
        <v>83</v>
      </c>
      <c r="B136" s="28">
        <v>2.05761316872428E-3</v>
      </c>
    </row>
    <row r="137" spans="1:2" x14ac:dyDescent="0.3">
      <c r="A137" s="3" t="s">
        <v>86</v>
      </c>
      <c r="B137" s="28">
        <v>2.05761316872428E-3</v>
      </c>
    </row>
    <row r="138" spans="1:2" x14ac:dyDescent="0.3">
      <c r="A138" s="3" t="s">
        <v>87</v>
      </c>
      <c r="B138" s="28">
        <v>2.05761316872428E-3</v>
      </c>
    </row>
    <row r="139" spans="1:2" x14ac:dyDescent="0.3">
      <c r="A139" s="3" t="s">
        <v>88</v>
      </c>
      <c r="B139" s="28">
        <v>2.05761316872428E-3</v>
      </c>
    </row>
    <row r="140" spans="1:2" x14ac:dyDescent="0.3">
      <c r="A140" s="3" t="s">
        <v>89</v>
      </c>
      <c r="B140" s="28">
        <v>2.05761316872428E-3</v>
      </c>
    </row>
    <row r="141" spans="1:2" x14ac:dyDescent="0.3">
      <c r="A141" s="3" t="s">
        <v>90</v>
      </c>
      <c r="B141" s="28">
        <v>2.05761316872428E-3</v>
      </c>
    </row>
    <row r="142" spans="1:2" x14ac:dyDescent="0.3">
      <c r="A142" s="3" t="s">
        <v>91</v>
      </c>
      <c r="B142" s="28">
        <v>2.05761316872428E-3</v>
      </c>
    </row>
    <row r="143" spans="1:2" x14ac:dyDescent="0.3">
      <c r="A143" s="3" t="s">
        <v>92</v>
      </c>
      <c r="B143" s="28">
        <v>4.11522633744856E-3</v>
      </c>
    </row>
    <row r="144" spans="1:2" x14ac:dyDescent="0.3">
      <c r="A144" s="3" t="s">
        <v>93</v>
      </c>
      <c r="B144" s="28">
        <v>2.05761316872428E-3</v>
      </c>
    </row>
    <row r="145" spans="1:2" x14ac:dyDescent="0.3">
      <c r="A145" s="3" t="s">
        <v>94</v>
      </c>
      <c r="B145" s="28">
        <v>2.05761316872428E-3</v>
      </c>
    </row>
    <row r="146" spans="1:2" x14ac:dyDescent="0.3">
      <c r="A146" s="3" t="s">
        <v>95</v>
      </c>
      <c r="B146" s="28">
        <v>2.05761316872428E-3</v>
      </c>
    </row>
    <row r="147" spans="1:2" x14ac:dyDescent="0.3">
      <c r="A147" s="3" t="s">
        <v>96</v>
      </c>
      <c r="B147" s="28">
        <v>6.17283950617284E-3</v>
      </c>
    </row>
    <row r="148" spans="1:2" x14ac:dyDescent="0.3">
      <c r="A148" s="3" t="s">
        <v>97</v>
      </c>
      <c r="B148" s="28">
        <v>1.0288065843621401E-2</v>
      </c>
    </row>
    <row r="149" spans="1:2" x14ac:dyDescent="0.3">
      <c r="A149" s="3" t="s">
        <v>98</v>
      </c>
      <c r="B149" s="28">
        <v>2.05761316872428E-3</v>
      </c>
    </row>
    <row r="150" spans="1:2" x14ac:dyDescent="0.3">
      <c r="A150" s="3" t="s">
        <v>99</v>
      </c>
      <c r="B150" s="28">
        <v>2.05761316872428E-3</v>
      </c>
    </row>
    <row r="151" spans="1:2" x14ac:dyDescent="0.3">
      <c r="A151" s="3" t="s">
        <v>100</v>
      </c>
      <c r="B151" s="28">
        <v>2.05761316872428E-3</v>
      </c>
    </row>
    <row r="152" spans="1:2" x14ac:dyDescent="0.3">
      <c r="A152" s="3" t="s">
        <v>101</v>
      </c>
      <c r="B152" s="28">
        <v>2.05761316872428E-3</v>
      </c>
    </row>
    <row r="153" spans="1:2" x14ac:dyDescent="0.3">
      <c r="A153" s="3" t="s">
        <v>102</v>
      </c>
      <c r="B153" s="28">
        <v>4.11522633744856E-3</v>
      </c>
    </row>
    <row r="154" spans="1:2" x14ac:dyDescent="0.3">
      <c r="A154" s="3" t="s">
        <v>103</v>
      </c>
      <c r="B154" s="28">
        <v>2.05761316872428E-3</v>
      </c>
    </row>
    <row r="155" spans="1:2" x14ac:dyDescent="0.3">
      <c r="A155" s="3" t="s">
        <v>104</v>
      </c>
      <c r="B155" s="28">
        <v>2.05761316872428E-3</v>
      </c>
    </row>
    <row r="156" spans="1:2" x14ac:dyDescent="0.3">
      <c r="A156" s="3" t="s">
        <v>105</v>
      </c>
      <c r="B156" s="28">
        <v>2.05761316872428E-3</v>
      </c>
    </row>
    <row r="157" spans="1:2" x14ac:dyDescent="0.3">
      <c r="A157" s="3" t="s">
        <v>106</v>
      </c>
      <c r="B157" s="28">
        <v>2.05761316872428E-3</v>
      </c>
    </row>
    <row r="158" spans="1:2" x14ac:dyDescent="0.3">
      <c r="A158" s="3" t="s">
        <v>107</v>
      </c>
      <c r="B158" s="28">
        <v>2.05761316872428E-3</v>
      </c>
    </row>
    <row r="159" spans="1:2" x14ac:dyDescent="0.3">
      <c r="A159" s="3" t="s">
        <v>108</v>
      </c>
      <c r="B159" s="28">
        <v>2.05761316872428E-3</v>
      </c>
    </row>
    <row r="160" spans="1:2" x14ac:dyDescent="0.3">
      <c r="A160" s="3" t="s">
        <v>109</v>
      </c>
      <c r="B160" s="28">
        <v>2.05761316872428E-3</v>
      </c>
    </row>
    <row r="161" spans="1:2" x14ac:dyDescent="0.3">
      <c r="A161" s="3" t="s">
        <v>110</v>
      </c>
      <c r="B161" s="28">
        <v>2.05761316872428E-3</v>
      </c>
    </row>
    <row r="162" spans="1:2" x14ac:dyDescent="0.3">
      <c r="A162" s="3" t="s">
        <v>111</v>
      </c>
      <c r="B162" s="28">
        <v>2.05761316872428E-3</v>
      </c>
    </row>
    <row r="163" spans="1:2" x14ac:dyDescent="0.3">
      <c r="A163" s="3" t="s">
        <v>112</v>
      </c>
      <c r="B163" s="28">
        <v>1.0288065843621401E-2</v>
      </c>
    </row>
    <row r="164" spans="1:2" x14ac:dyDescent="0.3">
      <c r="A164" s="3" t="s">
        <v>113</v>
      </c>
      <c r="B164" s="28">
        <v>2.05761316872428E-3</v>
      </c>
    </row>
    <row r="165" spans="1:2" x14ac:dyDescent="0.3">
      <c r="A165" s="3" t="s">
        <v>114</v>
      </c>
      <c r="B165" s="28">
        <v>2.05761316872428E-3</v>
      </c>
    </row>
    <row r="166" spans="1:2" x14ac:dyDescent="0.3">
      <c r="A166" s="3" t="s">
        <v>115</v>
      </c>
      <c r="B166" s="28">
        <v>5.7613168724279816E-2</v>
      </c>
    </row>
    <row r="167" spans="1:2" x14ac:dyDescent="0.3">
      <c r="A167" s="3" t="s">
        <v>116</v>
      </c>
      <c r="B167" s="28">
        <v>4.11522633744856E-3</v>
      </c>
    </row>
    <row r="168" spans="1:2" x14ac:dyDescent="0.3">
      <c r="A168" s="3" t="s">
        <v>117</v>
      </c>
      <c r="B168" s="28">
        <v>4.11522633744856E-3</v>
      </c>
    </row>
    <row r="169" spans="1:2" x14ac:dyDescent="0.3">
      <c r="A169" s="3" t="s">
        <v>118</v>
      </c>
      <c r="B169" s="28">
        <v>4.11522633744856E-3</v>
      </c>
    </row>
    <row r="170" spans="1:2" x14ac:dyDescent="0.3">
      <c r="A170" s="3" t="s">
        <v>119</v>
      </c>
      <c r="B170" s="28">
        <v>4.11522633744856E-3</v>
      </c>
    </row>
    <row r="171" spans="1:2" x14ac:dyDescent="0.3">
      <c r="A171" s="3" t="s">
        <v>120</v>
      </c>
      <c r="B171" s="28">
        <v>4.11522633744856E-3</v>
      </c>
    </row>
    <row r="172" spans="1:2" x14ac:dyDescent="0.3">
      <c r="A172" s="3" t="s">
        <v>121</v>
      </c>
      <c r="B172" s="28">
        <v>2.05761316872428E-3</v>
      </c>
    </row>
    <row r="173" spans="1:2" x14ac:dyDescent="0.3">
      <c r="A173" s="3" t="s">
        <v>122</v>
      </c>
      <c r="B173" s="28">
        <v>2.05761316872428E-3</v>
      </c>
    </row>
    <row r="174" spans="1:2" x14ac:dyDescent="0.3">
      <c r="A174" s="3" t="s">
        <v>123</v>
      </c>
      <c r="B174" s="28">
        <v>2.05761316872428E-3</v>
      </c>
    </row>
    <row r="175" spans="1:2" x14ac:dyDescent="0.3">
      <c r="A175" s="3" t="s">
        <v>124</v>
      </c>
      <c r="B175" s="28">
        <v>6.17283950617284E-3</v>
      </c>
    </row>
    <row r="176" spans="1:2" x14ac:dyDescent="0.3">
      <c r="A176" s="3" t="s">
        <v>125</v>
      </c>
      <c r="B176" s="28">
        <v>2.05761316872428E-3</v>
      </c>
    </row>
    <row r="177" spans="1:2" x14ac:dyDescent="0.3">
      <c r="A177" s="3" t="s">
        <v>126</v>
      </c>
      <c r="B177" s="28">
        <v>2.05761316872428E-3</v>
      </c>
    </row>
    <row r="178" spans="1:2" x14ac:dyDescent="0.3">
      <c r="A178" s="3" t="s">
        <v>127</v>
      </c>
      <c r="B178" s="28">
        <v>2.05761316872428E-3</v>
      </c>
    </row>
    <row r="179" spans="1:2" x14ac:dyDescent="0.3">
      <c r="A179" s="3" t="s">
        <v>128</v>
      </c>
      <c r="B179" s="28">
        <v>2.05761316872428E-3</v>
      </c>
    </row>
    <row r="180" spans="1:2" x14ac:dyDescent="0.3">
      <c r="A180" s="3" t="s">
        <v>129</v>
      </c>
      <c r="B180" s="28">
        <v>8.23045267489712E-3</v>
      </c>
    </row>
    <row r="181" spans="1:2" x14ac:dyDescent="0.3">
      <c r="A181" s="3" t="s">
        <v>130</v>
      </c>
      <c r="B181" s="28">
        <v>2.05761316872428E-3</v>
      </c>
    </row>
    <row r="182" spans="1:2" x14ac:dyDescent="0.3">
      <c r="A182" s="3" t="s">
        <v>131</v>
      </c>
      <c r="B182" s="28">
        <v>2.05761316872428E-3</v>
      </c>
    </row>
    <row r="183" spans="1:2" x14ac:dyDescent="0.3">
      <c r="A183" s="3" t="s">
        <v>132</v>
      </c>
      <c r="B183" s="28">
        <v>2.05761316872428E-3</v>
      </c>
    </row>
    <row r="184" spans="1:2" x14ac:dyDescent="0.3">
      <c r="A184" s="3" t="s">
        <v>133</v>
      </c>
      <c r="B184" s="28">
        <v>2.05761316872428E-3</v>
      </c>
    </row>
    <row r="185" spans="1:2" x14ac:dyDescent="0.3">
      <c r="A185" s="3" t="s">
        <v>134</v>
      </c>
      <c r="B185" s="28">
        <v>4.11522633744856E-3</v>
      </c>
    </row>
    <row r="186" spans="1:2" x14ac:dyDescent="0.3">
      <c r="A186" s="3" t="s">
        <v>135</v>
      </c>
      <c r="B186" s="28">
        <v>2.05761316872428E-3</v>
      </c>
    </row>
    <row r="187" spans="1:2" x14ac:dyDescent="0.3">
      <c r="A187" s="3" t="s">
        <v>136</v>
      </c>
      <c r="B187" s="28">
        <v>4.11522633744856E-3</v>
      </c>
    </row>
    <row r="188" spans="1:2" x14ac:dyDescent="0.3">
      <c r="A188" s="3" t="s">
        <v>514</v>
      </c>
      <c r="B188" s="28">
        <v>1.0288065843621401E-2</v>
      </c>
    </row>
    <row r="189" spans="1:2" x14ac:dyDescent="0.3">
      <c r="A189" s="3" t="s">
        <v>515</v>
      </c>
      <c r="B189" s="28">
        <v>2.05761316872428E-3</v>
      </c>
    </row>
    <row r="190" spans="1:2" x14ac:dyDescent="0.3">
      <c r="A190" s="3" t="s">
        <v>516</v>
      </c>
      <c r="B190" s="28">
        <v>4.11522633744856E-3</v>
      </c>
    </row>
    <row r="191" spans="1:2" x14ac:dyDescent="0.3">
      <c r="A191" s="3" t="s">
        <v>517</v>
      </c>
      <c r="B191" s="28">
        <v>4.11522633744856E-3</v>
      </c>
    </row>
    <row r="192" spans="1:2" x14ac:dyDescent="0.3">
      <c r="A192" s="3" t="s">
        <v>518</v>
      </c>
      <c r="B192" s="28">
        <v>6.17283950617284E-3</v>
      </c>
    </row>
    <row r="193" spans="1:2" x14ac:dyDescent="0.3">
      <c r="A193" s="3" t="s">
        <v>519</v>
      </c>
      <c r="B193" s="28">
        <v>6.17283950617284E-3</v>
      </c>
    </row>
    <row r="194" spans="1:2" x14ac:dyDescent="0.3">
      <c r="A194" s="3" t="s">
        <v>520</v>
      </c>
      <c r="B194" s="28">
        <v>4.11522633744856E-3</v>
      </c>
    </row>
    <row r="195" spans="1:2" x14ac:dyDescent="0.3">
      <c r="A195" s="3" t="s">
        <v>521</v>
      </c>
      <c r="B195" s="28">
        <v>2.05761316872428E-3</v>
      </c>
    </row>
    <row r="196" spans="1:2" x14ac:dyDescent="0.3">
      <c r="A196" s="3" t="s">
        <v>522</v>
      </c>
      <c r="B196" s="28">
        <v>2.05761316872428E-3</v>
      </c>
    </row>
    <row r="197" spans="1:2" x14ac:dyDescent="0.3">
      <c r="A197" s="3" t="s">
        <v>523</v>
      </c>
      <c r="B197" s="28">
        <v>2.05761316872428E-3</v>
      </c>
    </row>
    <row r="198" spans="1:2" x14ac:dyDescent="0.3">
      <c r="A198" s="3" t="s">
        <v>524</v>
      </c>
      <c r="B198" s="28">
        <v>2.05761316872428E-3</v>
      </c>
    </row>
    <row r="199" spans="1:2" x14ac:dyDescent="0.3">
      <c r="A199" s="3" t="s">
        <v>525</v>
      </c>
      <c r="B199" s="28">
        <v>4.11522633744856E-3</v>
      </c>
    </row>
    <row r="200" spans="1:2" x14ac:dyDescent="0.3">
      <c r="A200" s="3" t="s">
        <v>526</v>
      </c>
      <c r="B200" s="28">
        <v>0.18518518518518501</v>
      </c>
    </row>
    <row r="201" spans="1:2" x14ac:dyDescent="0.3">
      <c r="A201" s="3" t="s">
        <v>527</v>
      </c>
      <c r="B201" s="28">
        <v>2.05761316872428E-3</v>
      </c>
    </row>
    <row r="202" spans="1:2" x14ac:dyDescent="0.3">
      <c r="A202" s="3" t="s">
        <v>528</v>
      </c>
      <c r="B202" s="28">
        <v>4.11522633744856E-3</v>
      </c>
    </row>
    <row r="203" spans="1:2" x14ac:dyDescent="0.3">
      <c r="A203" s="3" t="s">
        <v>529</v>
      </c>
      <c r="B203" s="28">
        <v>2.05761316872428E-3</v>
      </c>
    </row>
    <row r="204" spans="1:2" x14ac:dyDescent="0.3">
      <c r="A204" s="3" t="s">
        <v>530</v>
      </c>
      <c r="B204" s="28">
        <v>2.05761316872428E-3</v>
      </c>
    </row>
    <row r="205" spans="1:2" x14ac:dyDescent="0.3">
      <c r="A205" s="3" t="s">
        <v>531</v>
      </c>
      <c r="B205" s="28">
        <v>4.11522633744856E-3</v>
      </c>
    </row>
    <row r="206" spans="1:2" x14ac:dyDescent="0.3">
      <c r="A206" s="3" t="s">
        <v>532</v>
      </c>
      <c r="B206" s="28">
        <v>2.05761316872428E-3</v>
      </c>
    </row>
    <row r="207" spans="1:2" x14ac:dyDescent="0.3">
      <c r="A207" s="3" t="s">
        <v>533</v>
      </c>
      <c r="B207" s="28">
        <v>2.05761316872428E-3</v>
      </c>
    </row>
    <row r="208" spans="1:2" x14ac:dyDescent="0.3">
      <c r="A208" s="3" t="s">
        <v>534</v>
      </c>
      <c r="B208" s="28">
        <v>2.05761316872428E-3</v>
      </c>
    </row>
    <row r="209" spans="1:2" x14ac:dyDescent="0.3">
      <c r="A209" s="3" t="s">
        <v>535</v>
      </c>
      <c r="B209" s="28">
        <v>6.17283950617284E-3</v>
      </c>
    </row>
    <row r="210" spans="1:2" x14ac:dyDescent="0.3">
      <c r="A210" s="3" t="s">
        <v>536</v>
      </c>
      <c r="B210" s="28">
        <v>2.05761316872428E-3</v>
      </c>
    </row>
    <row r="211" spans="1:2" x14ac:dyDescent="0.3">
      <c r="A211" s="3" t="s">
        <v>537</v>
      </c>
      <c r="B211" s="28">
        <v>2.05761316872428E-3</v>
      </c>
    </row>
    <row r="212" spans="1:2" x14ac:dyDescent="0.3">
      <c r="A212" s="3" t="s">
        <v>538</v>
      </c>
      <c r="B212" s="28">
        <v>2.05761316872428E-3</v>
      </c>
    </row>
    <row r="213" spans="1:2" x14ac:dyDescent="0.3">
      <c r="A213" s="3" t="s">
        <v>539</v>
      </c>
      <c r="B213" s="28">
        <v>8.23045267489712E-3</v>
      </c>
    </row>
    <row r="214" spans="1:2" x14ac:dyDescent="0.3">
      <c r="A214" s="3" t="s">
        <v>540</v>
      </c>
      <c r="B214" s="28">
        <v>4.11522633744856E-3</v>
      </c>
    </row>
    <row r="215" spans="1:2" x14ac:dyDescent="0.3">
      <c r="A215" s="3" t="s">
        <v>541</v>
      </c>
      <c r="B215" s="28">
        <v>2.05761316872428E-3</v>
      </c>
    </row>
    <row r="216" spans="1:2" x14ac:dyDescent="0.3">
      <c r="A216" s="3" t="s">
        <v>542</v>
      </c>
      <c r="B216" s="28">
        <v>2.05761316872428E-3</v>
      </c>
    </row>
    <row r="217" spans="1:2" x14ac:dyDescent="0.3">
      <c r="A217" s="3" t="s">
        <v>543</v>
      </c>
      <c r="B217" s="28">
        <v>2.05761316872428E-3</v>
      </c>
    </row>
    <row r="218" spans="1:2" x14ac:dyDescent="0.3">
      <c r="A218" s="3" t="s">
        <v>544</v>
      </c>
      <c r="B218" s="28">
        <v>2.05761316872428E-3</v>
      </c>
    </row>
    <row r="219" spans="1:2" x14ac:dyDescent="0.3">
      <c r="A219" s="3" t="s">
        <v>545</v>
      </c>
      <c r="B219" s="28">
        <v>6.17283950617284E-3</v>
      </c>
    </row>
    <row r="220" spans="1:2" x14ac:dyDescent="0.3">
      <c r="A220" s="3" t="s">
        <v>546</v>
      </c>
      <c r="B220" s="28">
        <v>2.05761316872428E-3</v>
      </c>
    </row>
    <row r="221" spans="1:2" x14ac:dyDescent="0.3">
      <c r="A221" s="3" t="s">
        <v>547</v>
      </c>
      <c r="B221" s="28">
        <v>2.05761316872428E-3</v>
      </c>
    </row>
    <row r="222" spans="1:2" x14ac:dyDescent="0.3">
      <c r="A222" s="3" t="s">
        <v>548</v>
      </c>
      <c r="B222" s="28">
        <v>2.05761316872428E-3</v>
      </c>
    </row>
    <row r="223" spans="1:2" x14ac:dyDescent="0.3">
      <c r="A223" s="3" t="s">
        <v>549</v>
      </c>
      <c r="B223" s="28">
        <v>2.05761316872428E-3</v>
      </c>
    </row>
    <row r="224" spans="1:2" x14ac:dyDescent="0.3">
      <c r="A224" s="3" t="s">
        <v>1019</v>
      </c>
      <c r="B224" s="28">
        <v>0.55555555555555591</v>
      </c>
    </row>
    <row r="226" spans="1:102" x14ac:dyDescent="0.3">
      <c r="A226" t="s">
        <v>1023</v>
      </c>
    </row>
    <row r="227" spans="1:102" x14ac:dyDescent="0.3">
      <c r="A227" s="28">
        <v>461120899</v>
      </c>
    </row>
    <row r="231" spans="1:102" x14ac:dyDescent="0.3">
      <c r="A231" s="2" t="s">
        <v>1040</v>
      </c>
      <c r="B231" s="2" t="s">
        <v>1022</v>
      </c>
    </row>
    <row r="232" spans="1:102" x14ac:dyDescent="0.3">
      <c r="A232" s="2" t="s">
        <v>1018</v>
      </c>
      <c r="B232" t="s">
        <v>71</v>
      </c>
      <c r="C232" t="s">
        <v>73</v>
      </c>
      <c r="D232" t="s">
        <v>74</v>
      </c>
      <c r="E232" t="s">
        <v>75</v>
      </c>
      <c r="F232" t="s">
        <v>76</v>
      </c>
      <c r="G232" t="s">
        <v>77</v>
      </c>
      <c r="H232" t="s">
        <v>78</v>
      </c>
      <c r="I232" t="s">
        <v>79</v>
      </c>
      <c r="J232" t="s">
        <v>80</v>
      </c>
      <c r="K232" t="s">
        <v>81</v>
      </c>
      <c r="L232" t="s">
        <v>82</v>
      </c>
      <c r="M232" t="s">
        <v>83</v>
      </c>
      <c r="N232" t="s">
        <v>84</v>
      </c>
      <c r="O232" t="s">
        <v>86</v>
      </c>
      <c r="P232" t="s">
        <v>87</v>
      </c>
      <c r="Q232" t="s">
        <v>88</v>
      </c>
      <c r="R232" t="s">
        <v>89</v>
      </c>
      <c r="S232" t="s">
        <v>90</v>
      </c>
      <c r="T232" t="s">
        <v>91</v>
      </c>
      <c r="U232" t="s">
        <v>92</v>
      </c>
      <c r="V232" t="s">
        <v>93</v>
      </c>
      <c r="W232" t="s">
        <v>94</v>
      </c>
      <c r="X232" t="s">
        <v>95</v>
      </c>
      <c r="Y232" t="s">
        <v>96</v>
      </c>
      <c r="Z232" t="s">
        <v>97</v>
      </c>
      <c r="AA232" t="s">
        <v>98</v>
      </c>
      <c r="AB232" t="s">
        <v>99</v>
      </c>
      <c r="AC232" t="s">
        <v>100</v>
      </c>
      <c r="AD232" t="s">
        <v>101</v>
      </c>
      <c r="AE232" t="s">
        <v>102</v>
      </c>
      <c r="AF232" t="s">
        <v>103</v>
      </c>
      <c r="AG232" t="s">
        <v>104</v>
      </c>
      <c r="AH232" t="s">
        <v>105</v>
      </c>
      <c r="AI232" t="s">
        <v>106</v>
      </c>
      <c r="AJ232" t="s">
        <v>107</v>
      </c>
      <c r="AK232" t="s">
        <v>108</v>
      </c>
      <c r="AL232" t="s">
        <v>109</v>
      </c>
      <c r="AM232" t="s">
        <v>110</v>
      </c>
      <c r="AN232" t="s">
        <v>111</v>
      </c>
      <c r="AO232" t="s">
        <v>112</v>
      </c>
      <c r="AP232" t="s">
        <v>113</v>
      </c>
      <c r="AQ232" t="s">
        <v>114</v>
      </c>
      <c r="AR232" t="s">
        <v>115</v>
      </c>
      <c r="AS232" t="s">
        <v>116</v>
      </c>
      <c r="AT232" t="s">
        <v>117</v>
      </c>
      <c r="AU232" t="s">
        <v>118</v>
      </c>
      <c r="AV232" t="s">
        <v>119</v>
      </c>
      <c r="AW232" t="s">
        <v>120</v>
      </c>
      <c r="AX232" t="s">
        <v>121</v>
      </c>
      <c r="AY232" t="s">
        <v>122</v>
      </c>
      <c r="AZ232" t="s">
        <v>123</v>
      </c>
      <c r="BA232" t="s">
        <v>124</v>
      </c>
      <c r="BB232" t="s">
        <v>125</v>
      </c>
      <c r="BC232" t="s">
        <v>126</v>
      </c>
      <c r="BD232" t="s">
        <v>127</v>
      </c>
      <c r="BE232" t="s">
        <v>128</v>
      </c>
      <c r="BF232" t="s">
        <v>129</v>
      </c>
      <c r="BG232" t="s">
        <v>130</v>
      </c>
      <c r="BH232" t="s">
        <v>131</v>
      </c>
      <c r="BI232" t="s">
        <v>132</v>
      </c>
      <c r="BJ232" t="s">
        <v>133</v>
      </c>
      <c r="BK232" t="s">
        <v>134</v>
      </c>
      <c r="BL232" t="s">
        <v>135</v>
      </c>
      <c r="BM232" t="s">
        <v>136</v>
      </c>
      <c r="BN232" t="s">
        <v>514</v>
      </c>
      <c r="BO232" t="s">
        <v>515</v>
      </c>
      <c r="BP232" t="s">
        <v>516</v>
      </c>
      <c r="BQ232" t="s">
        <v>517</v>
      </c>
      <c r="BR232" t="s">
        <v>518</v>
      </c>
      <c r="BS232" t="s">
        <v>519</v>
      </c>
      <c r="BT232" t="s">
        <v>520</v>
      </c>
      <c r="BU232" t="s">
        <v>521</v>
      </c>
      <c r="BV232" t="s">
        <v>522</v>
      </c>
      <c r="BW232" t="s">
        <v>523</v>
      </c>
      <c r="BX232" t="s">
        <v>524</v>
      </c>
      <c r="BY232" t="s">
        <v>525</v>
      </c>
      <c r="BZ232" t="s">
        <v>526</v>
      </c>
      <c r="CA232" t="s">
        <v>527</v>
      </c>
      <c r="CB232" t="s">
        <v>528</v>
      </c>
      <c r="CC232" t="s">
        <v>529</v>
      </c>
      <c r="CD232" t="s">
        <v>530</v>
      </c>
      <c r="CE232" t="s">
        <v>531</v>
      </c>
      <c r="CF232" t="s">
        <v>532</v>
      </c>
      <c r="CG232" t="s">
        <v>533</v>
      </c>
      <c r="CH232" t="s">
        <v>534</v>
      </c>
      <c r="CI232" t="s">
        <v>535</v>
      </c>
      <c r="CJ232" t="s">
        <v>536</v>
      </c>
      <c r="CK232" t="s">
        <v>537</v>
      </c>
      <c r="CL232" t="s">
        <v>538</v>
      </c>
      <c r="CM232" t="s">
        <v>539</v>
      </c>
      <c r="CN232" t="s">
        <v>540</v>
      </c>
      <c r="CO232" t="s">
        <v>541</v>
      </c>
      <c r="CP232" t="s">
        <v>542</v>
      </c>
      <c r="CQ232" t="s">
        <v>543</v>
      </c>
      <c r="CR232" t="s">
        <v>544</v>
      </c>
      <c r="CS232" t="s">
        <v>545</v>
      </c>
      <c r="CT232" t="s">
        <v>546</v>
      </c>
      <c r="CU232" t="s">
        <v>547</v>
      </c>
      <c r="CV232" t="s">
        <v>548</v>
      </c>
      <c r="CW232" t="s">
        <v>549</v>
      </c>
      <c r="CX232" t="s">
        <v>1019</v>
      </c>
    </row>
    <row r="233" spans="1:102" x14ac:dyDescent="0.3">
      <c r="A233" s="3" t="s">
        <v>511</v>
      </c>
      <c r="B233" s="28">
        <v>0</v>
      </c>
      <c r="C233" s="28">
        <v>0</v>
      </c>
      <c r="D233" s="28">
        <v>0</v>
      </c>
      <c r="E233" s="28">
        <v>0</v>
      </c>
      <c r="F233" s="28">
        <v>0</v>
      </c>
      <c r="G233" s="28">
        <v>2.6968567304081355E-3</v>
      </c>
      <c r="H233" s="28">
        <v>0</v>
      </c>
      <c r="I233" s="28">
        <v>0</v>
      </c>
      <c r="J233" s="28">
        <v>0</v>
      </c>
      <c r="K233" s="28">
        <v>0</v>
      </c>
      <c r="L233" s="28">
        <v>0</v>
      </c>
      <c r="M233" s="28">
        <v>0</v>
      </c>
      <c r="N233" s="28">
        <v>6.0287653542243809E-2</v>
      </c>
      <c r="O233" s="28">
        <v>0</v>
      </c>
      <c r="P233" s="28">
        <v>0</v>
      </c>
      <c r="Q233" s="28">
        <v>1.4349484081830783E-2</v>
      </c>
      <c r="R233" s="28">
        <v>0</v>
      </c>
      <c r="S233" s="28">
        <v>0</v>
      </c>
      <c r="T233" s="28">
        <v>0</v>
      </c>
      <c r="U233" s="28">
        <v>0</v>
      </c>
      <c r="V233" s="28">
        <v>0</v>
      </c>
      <c r="W233" s="28">
        <v>0</v>
      </c>
      <c r="X233" s="28">
        <v>0</v>
      </c>
      <c r="Y233" s="28">
        <v>4.1438677018193447E-3</v>
      </c>
      <c r="Z233" s="28">
        <v>0</v>
      </c>
      <c r="AA233" s="28">
        <v>0</v>
      </c>
      <c r="AB233" s="28">
        <v>0</v>
      </c>
      <c r="AC233" s="28">
        <v>6.0088493191456935E-3</v>
      </c>
      <c r="AD233" s="28">
        <v>0</v>
      </c>
      <c r="AE233" s="28">
        <v>0</v>
      </c>
      <c r="AF233" s="28">
        <v>0</v>
      </c>
      <c r="AG233" s="28">
        <v>1.1429024386942826E-2</v>
      </c>
      <c r="AH233" s="28">
        <v>0</v>
      </c>
      <c r="AI233" s="28">
        <v>0</v>
      </c>
      <c r="AJ233" s="28">
        <v>0</v>
      </c>
      <c r="AK233" s="28">
        <v>0</v>
      </c>
      <c r="AL233" s="28">
        <v>0</v>
      </c>
      <c r="AM233" s="28">
        <v>0</v>
      </c>
      <c r="AN233" s="28">
        <v>0</v>
      </c>
      <c r="AO233" s="28">
        <v>0</v>
      </c>
      <c r="AP233" s="28">
        <v>0</v>
      </c>
      <c r="AQ233" s="28">
        <v>0</v>
      </c>
      <c r="AR233" s="28">
        <v>2.939630589157053E-2</v>
      </c>
      <c r="AS233" s="28">
        <v>0</v>
      </c>
      <c r="AT233" s="28">
        <v>0</v>
      </c>
      <c r="AU233" s="28">
        <v>0</v>
      </c>
      <c r="AV233" s="28">
        <v>0</v>
      </c>
      <c r="AW233" s="28">
        <v>0</v>
      </c>
      <c r="AX233" s="28">
        <v>0</v>
      </c>
      <c r="AY233" s="28">
        <v>0</v>
      </c>
      <c r="AZ233" s="28">
        <v>0</v>
      </c>
      <c r="BA233" s="28">
        <v>8.3298761958737423E-4</v>
      </c>
      <c r="BB233" s="28">
        <v>0</v>
      </c>
      <c r="BC233" s="28">
        <v>0</v>
      </c>
      <c r="BD233" s="28">
        <v>1.1804073534303202E-2</v>
      </c>
      <c r="BE233" s="28">
        <v>9.5199892468981334E-3</v>
      </c>
      <c r="BF233" s="28">
        <v>4.5886187431292283E-3</v>
      </c>
      <c r="BG233" s="28">
        <v>0</v>
      </c>
      <c r="BH233" s="28">
        <v>0</v>
      </c>
      <c r="BI233" s="28">
        <v>7.0029356878053791E-4</v>
      </c>
      <c r="BJ233" s="28">
        <v>0</v>
      </c>
      <c r="BK233" s="28">
        <v>0</v>
      </c>
      <c r="BL233" s="28">
        <v>0</v>
      </c>
      <c r="BM233" s="28">
        <v>1.1011647945282133E-2</v>
      </c>
      <c r="BN233" s="28">
        <v>0</v>
      </c>
      <c r="BO233" s="28">
        <v>0</v>
      </c>
      <c r="BP233" s="28">
        <v>0</v>
      </c>
      <c r="BQ233" s="28">
        <v>0</v>
      </c>
      <c r="BR233" s="28">
        <v>0</v>
      </c>
      <c r="BS233" s="28">
        <v>0</v>
      </c>
      <c r="BT233" s="28">
        <v>0</v>
      </c>
      <c r="BU233" s="28">
        <v>0</v>
      </c>
      <c r="BV233" s="28">
        <v>0</v>
      </c>
      <c r="BW233" s="28">
        <v>0</v>
      </c>
      <c r="BX233" s="28">
        <v>0</v>
      </c>
      <c r="BY233" s="28">
        <v>0</v>
      </c>
      <c r="BZ233" s="28">
        <v>4.3728159022347848E-2</v>
      </c>
      <c r="CA233" s="28">
        <v>0</v>
      </c>
      <c r="CB233" s="28">
        <v>0</v>
      </c>
      <c r="CC233" s="28">
        <v>0</v>
      </c>
      <c r="CD233" s="28">
        <v>0</v>
      </c>
      <c r="CE233" s="28">
        <v>0</v>
      </c>
      <c r="CF233" s="28">
        <v>0</v>
      </c>
      <c r="CG233" s="28">
        <v>0</v>
      </c>
      <c r="CH233" s="28">
        <v>0</v>
      </c>
      <c r="CI233" s="28">
        <v>0</v>
      </c>
      <c r="CJ233" s="28">
        <v>0</v>
      </c>
      <c r="CK233" s="28">
        <v>0</v>
      </c>
      <c r="CL233" s="28">
        <v>0</v>
      </c>
      <c r="CM233" s="28">
        <v>0</v>
      </c>
      <c r="CN233" s="28">
        <v>0</v>
      </c>
      <c r="CO233" s="28">
        <v>0</v>
      </c>
      <c r="CP233" s="28">
        <v>0</v>
      </c>
      <c r="CQ233" s="28">
        <v>0</v>
      </c>
      <c r="CR233" s="28">
        <v>0</v>
      </c>
      <c r="CS233" s="28">
        <v>0</v>
      </c>
      <c r="CT233" s="28">
        <v>0</v>
      </c>
      <c r="CU233" s="28">
        <v>1.1975241226271117E-2</v>
      </c>
      <c r="CV233" s="28">
        <v>2.4569673646476823E-3</v>
      </c>
      <c r="CW233" s="28">
        <v>0</v>
      </c>
      <c r="CX233" s="28">
        <v>0.22493001992520839</v>
      </c>
    </row>
    <row r="234" spans="1:102" x14ac:dyDescent="0.3">
      <c r="A234" s="3" t="s">
        <v>509</v>
      </c>
      <c r="B234" s="28">
        <v>0</v>
      </c>
      <c r="C234" s="28">
        <v>0</v>
      </c>
      <c r="D234" s="28">
        <v>0</v>
      </c>
      <c r="E234" s="28">
        <v>0</v>
      </c>
      <c r="F234" s="28">
        <v>0</v>
      </c>
      <c r="G234" s="28">
        <v>2.8338750267747027E-3</v>
      </c>
      <c r="H234" s="28">
        <v>0</v>
      </c>
      <c r="I234" s="28">
        <v>0</v>
      </c>
      <c r="J234" s="28">
        <v>0</v>
      </c>
      <c r="K234" s="28">
        <v>0</v>
      </c>
      <c r="L234" s="28">
        <v>0</v>
      </c>
      <c r="M234" s="28">
        <v>0</v>
      </c>
      <c r="N234" s="28">
        <v>4.3230211519864337E-2</v>
      </c>
      <c r="O234" s="28">
        <v>0</v>
      </c>
      <c r="P234" s="28">
        <v>0</v>
      </c>
      <c r="Q234" s="28">
        <v>0</v>
      </c>
      <c r="R234" s="28">
        <v>5.1596013218216767E-3</v>
      </c>
      <c r="S234" s="28">
        <v>0</v>
      </c>
      <c r="T234" s="28">
        <v>0</v>
      </c>
      <c r="U234" s="28">
        <v>0</v>
      </c>
      <c r="V234" s="28">
        <v>0</v>
      </c>
      <c r="W234" s="28">
        <v>0</v>
      </c>
      <c r="X234" s="28">
        <v>0</v>
      </c>
      <c r="Y234" s="28">
        <v>0</v>
      </c>
      <c r="Z234" s="28">
        <v>0</v>
      </c>
      <c r="AA234" s="28">
        <v>0</v>
      </c>
      <c r="AB234" s="28">
        <v>0</v>
      </c>
      <c r="AC234" s="28">
        <v>0</v>
      </c>
      <c r="AD234" s="28">
        <v>0</v>
      </c>
      <c r="AE234" s="28">
        <v>0</v>
      </c>
      <c r="AF234" s="28">
        <v>0</v>
      </c>
      <c r="AG234" s="28">
        <v>0</v>
      </c>
      <c r="AH234" s="28">
        <v>0</v>
      </c>
      <c r="AI234" s="28">
        <v>0</v>
      </c>
      <c r="AJ234" s="28">
        <v>0</v>
      </c>
      <c r="AK234" s="28">
        <v>0</v>
      </c>
      <c r="AL234" s="28">
        <v>0</v>
      </c>
      <c r="AM234" s="28">
        <v>0</v>
      </c>
      <c r="AN234" s="28">
        <v>0</v>
      </c>
      <c r="AO234" s="28">
        <v>0</v>
      </c>
      <c r="AP234" s="28">
        <v>0</v>
      </c>
      <c r="AQ234" s="28">
        <v>4.3931971081623E-3</v>
      </c>
      <c r="AR234" s="28">
        <v>0</v>
      </c>
      <c r="AS234" s="28">
        <v>0</v>
      </c>
      <c r="AT234" s="28">
        <v>0</v>
      </c>
      <c r="AU234" s="28">
        <v>0</v>
      </c>
      <c r="AV234" s="28">
        <v>0</v>
      </c>
      <c r="AW234" s="28">
        <v>0</v>
      </c>
      <c r="AX234" s="28">
        <v>5.7960287763925448E-4</v>
      </c>
      <c r="AY234" s="28">
        <v>0</v>
      </c>
      <c r="AZ234" s="28">
        <v>4.366247559731618E-3</v>
      </c>
      <c r="BA234" s="28">
        <v>0</v>
      </c>
      <c r="BB234" s="28">
        <v>0</v>
      </c>
      <c r="BC234" s="28">
        <v>0</v>
      </c>
      <c r="BD234" s="28">
        <v>0</v>
      </c>
      <c r="BE234" s="28">
        <v>0</v>
      </c>
      <c r="BF234" s="28">
        <v>0</v>
      </c>
      <c r="BG234" s="28">
        <v>0</v>
      </c>
      <c r="BH234" s="28">
        <v>0</v>
      </c>
      <c r="BI234" s="28">
        <v>0</v>
      </c>
      <c r="BJ234" s="28">
        <v>0</v>
      </c>
      <c r="BK234" s="28">
        <v>0</v>
      </c>
      <c r="BL234" s="28">
        <v>0</v>
      </c>
      <c r="BM234" s="28">
        <v>0</v>
      </c>
      <c r="BN234" s="28">
        <v>0</v>
      </c>
      <c r="BO234" s="28">
        <v>0</v>
      </c>
      <c r="BP234" s="28">
        <v>0</v>
      </c>
      <c r="BQ234" s="28">
        <v>0</v>
      </c>
      <c r="BR234" s="28">
        <v>0</v>
      </c>
      <c r="BS234" s="28">
        <v>0</v>
      </c>
      <c r="BT234" s="28">
        <v>0</v>
      </c>
      <c r="BU234" s="28">
        <v>2.1137406743301826E-3</v>
      </c>
      <c r="BV234" s="28">
        <v>0</v>
      </c>
      <c r="BW234" s="28">
        <v>0</v>
      </c>
      <c r="BX234" s="28">
        <v>0</v>
      </c>
      <c r="BY234" s="28">
        <v>0</v>
      </c>
      <c r="BZ234" s="28">
        <v>2.131914866864449E-2</v>
      </c>
      <c r="CA234" s="28">
        <v>0</v>
      </c>
      <c r="CB234" s="28">
        <v>0</v>
      </c>
      <c r="CC234" s="28">
        <v>0</v>
      </c>
      <c r="CD234" s="28">
        <v>0</v>
      </c>
      <c r="CE234" s="28">
        <v>0</v>
      </c>
      <c r="CF234" s="28">
        <v>0</v>
      </c>
      <c r="CG234" s="28">
        <v>0</v>
      </c>
      <c r="CH234" s="28">
        <v>0</v>
      </c>
      <c r="CI234" s="28">
        <v>0</v>
      </c>
      <c r="CJ234" s="28">
        <v>0</v>
      </c>
      <c r="CK234" s="28">
        <v>0</v>
      </c>
      <c r="CL234" s="28">
        <v>0</v>
      </c>
      <c r="CM234" s="28">
        <v>1.4308893859091822E-2</v>
      </c>
      <c r="CN234" s="28">
        <v>0</v>
      </c>
      <c r="CO234" s="28">
        <v>0</v>
      </c>
      <c r="CP234" s="28">
        <v>0</v>
      </c>
      <c r="CQ234" s="28">
        <v>0</v>
      </c>
      <c r="CR234" s="28">
        <v>7.8655012337664615E-3</v>
      </c>
      <c r="CS234" s="28">
        <v>0</v>
      </c>
      <c r="CT234" s="28">
        <v>0</v>
      </c>
      <c r="CU234" s="28">
        <v>0</v>
      </c>
      <c r="CV234" s="28">
        <v>0</v>
      </c>
      <c r="CW234" s="28">
        <v>0</v>
      </c>
      <c r="CX234" s="28">
        <v>0.10617001984982685</v>
      </c>
    </row>
    <row r="235" spans="1:102" x14ac:dyDescent="0.3">
      <c r="A235" s="3" t="s">
        <v>512</v>
      </c>
      <c r="B235" s="28">
        <v>0</v>
      </c>
      <c r="C235" s="28">
        <v>0</v>
      </c>
      <c r="D235" s="28">
        <v>0</v>
      </c>
      <c r="E235" s="28">
        <v>0</v>
      </c>
      <c r="F235" s="28">
        <v>0</v>
      </c>
      <c r="G235" s="28">
        <v>0</v>
      </c>
      <c r="H235" s="28">
        <v>0</v>
      </c>
      <c r="I235" s="28">
        <v>2.7156435605405079E-3</v>
      </c>
      <c r="J235" s="28">
        <v>0</v>
      </c>
      <c r="K235" s="28">
        <v>0</v>
      </c>
      <c r="L235" s="28">
        <v>0</v>
      </c>
      <c r="M235" s="28">
        <v>0</v>
      </c>
      <c r="N235" s="28">
        <v>6.7849106531170253E-2</v>
      </c>
      <c r="O235" s="28">
        <v>0</v>
      </c>
      <c r="P235" s="28">
        <v>0</v>
      </c>
      <c r="Q235" s="28">
        <v>0</v>
      </c>
      <c r="R235" s="28">
        <v>0</v>
      </c>
      <c r="S235" s="28">
        <v>0</v>
      </c>
      <c r="T235" s="28">
        <v>0</v>
      </c>
      <c r="U235" s="28">
        <v>0</v>
      </c>
      <c r="V235" s="28">
        <v>0</v>
      </c>
      <c r="W235" s="28">
        <v>0</v>
      </c>
      <c r="X235" s="28">
        <v>0</v>
      </c>
      <c r="Y235" s="28">
        <v>0</v>
      </c>
      <c r="Z235" s="28">
        <v>6.2770566380249875E-3</v>
      </c>
      <c r="AA235" s="28">
        <v>1.2805145055895634E-3</v>
      </c>
      <c r="AB235" s="28">
        <v>0</v>
      </c>
      <c r="AC235" s="28">
        <v>0</v>
      </c>
      <c r="AD235" s="28">
        <v>0</v>
      </c>
      <c r="AE235" s="28">
        <v>0</v>
      </c>
      <c r="AF235" s="28">
        <v>0</v>
      </c>
      <c r="AG235" s="28">
        <v>0</v>
      </c>
      <c r="AH235" s="28">
        <v>0</v>
      </c>
      <c r="AI235" s="28">
        <v>0</v>
      </c>
      <c r="AJ235" s="28">
        <v>0</v>
      </c>
      <c r="AK235" s="28">
        <v>0</v>
      </c>
      <c r="AL235" s="28">
        <v>0</v>
      </c>
      <c r="AM235" s="28">
        <v>0</v>
      </c>
      <c r="AN235" s="28">
        <v>0</v>
      </c>
      <c r="AO235" s="28">
        <v>0</v>
      </c>
      <c r="AP235" s="28">
        <v>0</v>
      </c>
      <c r="AQ235" s="28">
        <v>0</v>
      </c>
      <c r="AR235" s="28">
        <v>0</v>
      </c>
      <c r="AS235" s="28">
        <v>0</v>
      </c>
      <c r="AT235" s="28">
        <v>0</v>
      </c>
      <c r="AU235" s="28">
        <v>0</v>
      </c>
      <c r="AV235" s="28">
        <v>1.3402927547640821E-3</v>
      </c>
      <c r="AW235" s="28">
        <v>0</v>
      </c>
      <c r="AX235" s="28">
        <v>0</v>
      </c>
      <c r="AY235" s="28">
        <v>0</v>
      </c>
      <c r="AZ235" s="28">
        <v>0</v>
      </c>
      <c r="BA235" s="28">
        <v>0</v>
      </c>
      <c r="BB235" s="28">
        <v>0</v>
      </c>
      <c r="BC235" s="28">
        <v>0</v>
      </c>
      <c r="BD235" s="28">
        <v>0</v>
      </c>
      <c r="BE235" s="28">
        <v>0</v>
      </c>
      <c r="BF235" s="28">
        <v>0</v>
      </c>
      <c r="BG235" s="28">
        <v>0</v>
      </c>
      <c r="BH235" s="28">
        <v>0</v>
      </c>
      <c r="BI235" s="28">
        <v>0</v>
      </c>
      <c r="BJ235" s="28">
        <v>0</v>
      </c>
      <c r="BK235" s="28">
        <v>0</v>
      </c>
      <c r="BL235" s="28">
        <v>0</v>
      </c>
      <c r="BM235" s="28">
        <v>0</v>
      </c>
      <c r="BN235" s="28">
        <v>3.1743584018298853E-3</v>
      </c>
      <c r="BO235" s="28">
        <v>0</v>
      </c>
      <c r="BP235" s="28">
        <v>0</v>
      </c>
      <c r="BQ235" s="28">
        <v>0</v>
      </c>
      <c r="BR235" s="28">
        <v>2.024072216254072E-3</v>
      </c>
      <c r="BS235" s="28">
        <v>0</v>
      </c>
      <c r="BT235" s="28">
        <v>0</v>
      </c>
      <c r="BU235" s="28">
        <v>0</v>
      </c>
      <c r="BV235" s="28">
        <v>0</v>
      </c>
      <c r="BW235" s="28">
        <v>0</v>
      </c>
      <c r="BX235" s="28">
        <v>0</v>
      </c>
      <c r="BY235" s="28">
        <v>1.0775904997530811E-2</v>
      </c>
      <c r="BZ235" s="28">
        <v>1.6630577830305627E-2</v>
      </c>
      <c r="CA235" s="28">
        <v>0</v>
      </c>
      <c r="CB235" s="28">
        <v>0</v>
      </c>
      <c r="CC235" s="28">
        <v>0</v>
      </c>
      <c r="CD235" s="28">
        <v>0</v>
      </c>
      <c r="CE235" s="28">
        <v>0</v>
      </c>
      <c r="CF235" s="28">
        <v>0</v>
      </c>
      <c r="CG235" s="28">
        <v>0</v>
      </c>
      <c r="CH235" s="28">
        <v>3.0795177643856909E-4</v>
      </c>
      <c r="CI235" s="28">
        <v>0</v>
      </c>
      <c r="CJ235" s="28">
        <v>0</v>
      </c>
      <c r="CK235" s="28">
        <v>0</v>
      </c>
      <c r="CL235" s="28">
        <v>0</v>
      </c>
      <c r="CM235" s="28">
        <v>0</v>
      </c>
      <c r="CN235" s="28">
        <v>0</v>
      </c>
      <c r="CO235" s="28">
        <v>0</v>
      </c>
      <c r="CP235" s="28">
        <v>0</v>
      </c>
      <c r="CQ235" s="28">
        <v>0</v>
      </c>
      <c r="CR235" s="28">
        <v>0</v>
      </c>
      <c r="CS235" s="28">
        <v>0</v>
      </c>
      <c r="CT235" s="28">
        <v>0</v>
      </c>
      <c r="CU235" s="28">
        <v>0</v>
      </c>
      <c r="CV235" s="28">
        <v>0</v>
      </c>
      <c r="CW235" s="28">
        <v>0</v>
      </c>
      <c r="CX235" s="28">
        <v>0.11237547921244836</v>
      </c>
    </row>
    <row r="236" spans="1:102" x14ac:dyDescent="0.3">
      <c r="A236" s="3" t="s">
        <v>510</v>
      </c>
      <c r="B236" s="28">
        <v>0</v>
      </c>
      <c r="C236" s="28">
        <v>0</v>
      </c>
      <c r="D236" s="28">
        <v>0</v>
      </c>
      <c r="E236" s="28">
        <v>0</v>
      </c>
      <c r="F236" s="28">
        <v>0</v>
      </c>
      <c r="G236" s="28">
        <v>0</v>
      </c>
      <c r="H236" s="28">
        <v>1.6585780467954891E-3</v>
      </c>
      <c r="I236" s="28">
        <v>0</v>
      </c>
      <c r="J236" s="28">
        <v>0</v>
      </c>
      <c r="K236" s="28">
        <v>0</v>
      </c>
      <c r="L236" s="28">
        <v>0</v>
      </c>
      <c r="M236" s="28">
        <v>0</v>
      </c>
      <c r="N236" s="28">
        <v>6.2598698221222895E-2</v>
      </c>
      <c r="O236" s="28">
        <v>0</v>
      </c>
      <c r="P236" s="28">
        <v>0</v>
      </c>
      <c r="Q236" s="28">
        <v>0</v>
      </c>
      <c r="R236" s="28">
        <v>0</v>
      </c>
      <c r="S236" s="28">
        <v>0</v>
      </c>
      <c r="T236" s="28">
        <v>0</v>
      </c>
      <c r="U236" s="28">
        <v>3.0683926993298126E-5</v>
      </c>
      <c r="V236" s="28">
        <v>0</v>
      </c>
      <c r="W236" s="28">
        <v>0</v>
      </c>
      <c r="X236" s="28">
        <v>0</v>
      </c>
      <c r="Y236" s="28">
        <v>0</v>
      </c>
      <c r="Z236" s="28">
        <v>0</v>
      </c>
      <c r="AA236" s="28">
        <v>0</v>
      </c>
      <c r="AB236" s="28">
        <v>0</v>
      </c>
      <c r="AC236" s="28">
        <v>0</v>
      </c>
      <c r="AD236" s="28">
        <v>0</v>
      </c>
      <c r="AE236" s="28">
        <v>0</v>
      </c>
      <c r="AF236" s="28">
        <v>0</v>
      </c>
      <c r="AG236" s="28">
        <v>0</v>
      </c>
      <c r="AH236" s="28">
        <v>0</v>
      </c>
      <c r="AI236" s="28">
        <v>0</v>
      </c>
      <c r="AJ236" s="28">
        <v>0</v>
      </c>
      <c r="AK236" s="28">
        <v>0</v>
      </c>
      <c r="AL236" s="28">
        <v>0</v>
      </c>
      <c r="AM236" s="28">
        <v>0</v>
      </c>
      <c r="AN236" s="28">
        <v>0</v>
      </c>
      <c r="AO236" s="28">
        <v>0</v>
      </c>
      <c r="AP236" s="28">
        <v>0</v>
      </c>
      <c r="AQ236" s="28">
        <v>0</v>
      </c>
      <c r="AR236" s="28">
        <v>0</v>
      </c>
      <c r="AS236" s="28">
        <v>0</v>
      </c>
      <c r="AT236" s="28">
        <v>0</v>
      </c>
      <c r="AU236" s="28">
        <v>0</v>
      </c>
      <c r="AV236" s="28">
        <v>0</v>
      </c>
      <c r="AW236" s="28">
        <v>2.5025866372627801E-3</v>
      </c>
      <c r="AX236" s="28">
        <v>0</v>
      </c>
      <c r="AY236" s="28">
        <v>0</v>
      </c>
      <c r="AZ236" s="28">
        <v>0</v>
      </c>
      <c r="BA236" s="28">
        <v>0</v>
      </c>
      <c r="BB236" s="28">
        <v>0</v>
      </c>
      <c r="BC236" s="28">
        <v>0</v>
      </c>
      <c r="BD236" s="28">
        <v>0</v>
      </c>
      <c r="BE236" s="28">
        <v>0</v>
      </c>
      <c r="BF236" s="28">
        <v>0</v>
      </c>
      <c r="BG236" s="28">
        <v>0</v>
      </c>
      <c r="BH236" s="28">
        <v>0</v>
      </c>
      <c r="BI236" s="28">
        <v>0</v>
      </c>
      <c r="BJ236" s="28">
        <v>0</v>
      </c>
      <c r="BK236" s="28">
        <v>0</v>
      </c>
      <c r="BL236" s="28">
        <v>3.6151907311405548E-4</v>
      </c>
      <c r="BM236" s="28">
        <v>7.6636691324632415E-3</v>
      </c>
      <c r="BN236" s="28">
        <v>0</v>
      </c>
      <c r="BO236" s="28">
        <v>0</v>
      </c>
      <c r="BP236" s="28">
        <v>0</v>
      </c>
      <c r="BQ236" s="28">
        <v>0</v>
      </c>
      <c r="BR236" s="28">
        <v>0</v>
      </c>
      <c r="BS236" s="28">
        <v>2.2720722532248533E-4</v>
      </c>
      <c r="BT236" s="28">
        <v>0</v>
      </c>
      <c r="BU236" s="28">
        <v>0</v>
      </c>
      <c r="BV236" s="28">
        <v>0</v>
      </c>
      <c r="BW236" s="28">
        <v>0</v>
      </c>
      <c r="BX236" s="28">
        <v>0</v>
      </c>
      <c r="BY236" s="28">
        <v>0</v>
      </c>
      <c r="BZ236" s="28">
        <v>1.4399052427246418E-2</v>
      </c>
      <c r="CA236" s="28">
        <v>0</v>
      </c>
      <c r="CB236" s="28">
        <v>0</v>
      </c>
      <c r="CC236" s="28">
        <v>9.0225361917504413E-4</v>
      </c>
      <c r="CD236" s="28">
        <v>0</v>
      </c>
      <c r="CE236" s="28">
        <v>3.9139974004951793E-3</v>
      </c>
      <c r="CF236" s="28">
        <v>0</v>
      </c>
      <c r="CG236" s="28">
        <v>0</v>
      </c>
      <c r="CH236" s="28">
        <v>0</v>
      </c>
      <c r="CI236" s="28">
        <v>0</v>
      </c>
      <c r="CJ236" s="28">
        <v>0</v>
      </c>
      <c r="CK236" s="28">
        <v>0</v>
      </c>
      <c r="CL236" s="28">
        <v>0</v>
      </c>
      <c r="CM236" s="28">
        <v>0</v>
      </c>
      <c r="CN236" s="28">
        <v>0</v>
      </c>
      <c r="CO236" s="28">
        <v>0</v>
      </c>
      <c r="CP236" s="28">
        <v>0</v>
      </c>
      <c r="CQ236" s="28">
        <v>0</v>
      </c>
      <c r="CR236" s="28">
        <v>0</v>
      </c>
      <c r="CS236" s="28">
        <v>0</v>
      </c>
      <c r="CT236" s="28">
        <v>0</v>
      </c>
      <c r="CU236" s="28">
        <v>0</v>
      </c>
      <c r="CV236" s="28">
        <v>0</v>
      </c>
      <c r="CW236" s="28">
        <v>0</v>
      </c>
      <c r="CX236" s="28">
        <v>9.4258245710090879E-2</v>
      </c>
    </row>
    <row r="237" spans="1:102" x14ac:dyDescent="0.3">
      <c r="A237" s="3" t="s">
        <v>68</v>
      </c>
      <c r="B237" s="28">
        <v>0</v>
      </c>
      <c r="C237" s="28">
        <v>0</v>
      </c>
      <c r="D237" s="28">
        <v>2.1210359411621463E-3</v>
      </c>
      <c r="E237" s="28">
        <v>0</v>
      </c>
      <c r="F237" s="28">
        <v>0</v>
      </c>
      <c r="G237" s="28">
        <v>0</v>
      </c>
      <c r="H237" s="28">
        <v>0</v>
      </c>
      <c r="I237" s="28">
        <v>4.1041297501460677E-5</v>
      </c>
      <c r="J237" s="28">
        <v>0</v>
      </c>
      <c r="K237" s="28">
        <v>0</v>
      </c>
      <c r="L237" s="28">
        <v>0</v>
      </c>
      <c r="M237" s="28">
        <v>0</v>
      </c>
      <c r="N237" s="28">
        <v>3.2022640986393465E-2</v>
      </c>
      <c r="O237" s="28">
        <v>0</v>
      </c>
      <c r="P237" s="28">
        <v>0</v>
      </c>
      <c r="Q237" s="28">
        <v>0</v>
      </c>
      <c r="R237" s="28">
        <v>0</v>
      </c>
      <c r="S237" s="28">
        <v>0</v>
      </c>
      <c r="T237" s="28">
        <v>0</v>
      </c>
      <c r="U237" s="28">
        <v>0</v>
      </c>
      <c r="V237" s="28">
        <v>0</v>
      </c>
      <c r="W237" s="28">
        <v>0</v>
      </c>
      <c r="X237" s="28">
        <v>0</v>
      </c>
      <c r="Y237" s="28">
        <v>9.227146306374633E-4</v>
      </c>
      <c r="Z237" s="28">
        <v>0</v>
      </c>
      <c r="AA237" s="28">
        <v>0</v>
      </c>
      <c r="AB237" s="28">
        <v>4.5085746590722191E-3</v>
      </c>
      <c r="AC237" s="28">
        <v>0</v>
      </c>
      <c r="AD237" s="28">
        <v>0</v>
      </c>
      <c r="AE237" s="28">
        <v>1.3513939649046356E-3</v>
      </c>
      <c r="AF237" s="28">
        <v>0</v>
      </c>
      <c r="AG237" s="28">
        <v>0</v>
      </c>
      <c r="AH237" s="28">
        <v>3.0987274771079069E-3</v>
      </c>
      <c r="AI237" s="28">
        <v>0</v>
      </c>
      <c r="AJ237" s="28">
        <v>0</v>
      </c>
      <c r="AK237" s="28">
        <v>0</v>
      </c>
      <c r="AL237" s="28">
        <v>0</v>
      </c>
      <c r="AM237" s="28">
        <v>7.6247682714549879E-4</v>
      </c>
      <c r="AN237" s="28">
        <v>0</v>
      </c>
      <c r="AO237" s="28">
        <v>0</v>
      </c>
      <c r="AP237" s="28">
        <v>0</v>
      </c>
      <c r="AQ237" s="28">
        <v>0</v>
      </c>
      <c r="AR237" s="28">
        <v>1.6470476650419612E-2</v>
      </c>
      <c r="AS237" s="28">
        <v>0</v>
      </c>
      <c r="AT237" s="28">
        <v>0</v>
      </c>
      <c r="AU237" s="28">
        <v>0</v>
      </c>
      <c r="AV237" s="28">
        <v>2.5327305757182781E-3</v>
      </c>
      <c r="AW237" s="28">
        <v>0</v>
      </c>
      <c r="AX237" s="28">
        <v>0</v>
      </c>
      <c r="AY237" s="28">
        <v>3.5267822463193109E-3</v>
      </c>
      <c r="AZ237" s="28">
        <v>0</v>
      </c>
      <c r="BA237" s="28">
        <v>0</v>
      </c>
      <c r="BB237" s="28">
        <v>0</v>
      </c>
      <c r="BC237" s="28">
        <v>0</v>
      </c>
      <c r="BD237" s="28">
        <v>0</v>
      </c>
      <c r="BE237" s="28">
        <v>0</v>
      </c>
      <c r="BF237" s="28">
        <v>0</v>
      </c>
      <c r="BG237" s="28">
        <v>0</v>
      </c>
      <c r="BH237" s="28">
        <v>3.4534305503251543E-3</v>
      </c>
      <c r="BI237" s="28">
        <v>0</v>
      </c>
      <c r="BJ237" s="28">
        <v>0</v>
      </c>
      <c r="BK237" s="28">
        <v>1.8387433790980703E-3</v>
      </c>
      <c r="BL237" s="28">
        <v>0</v>
      </c>
      <c r="BM237" s="28">
        <v>0</v>
      </c>
      <c r="BN237" s="28">
        <v>0</v>
      </c>
      <c r="BO237" s="28">
        <v>0</v>
      </c>
      <c r="BP237" s="28">
        <v>0</v>
      </c>
      <c r="BQ237" s="28">
        <v>0</v>
      </c>
      <c r="BR237" s="28">
        <v>0</v>
      </c>
      <c r="BS237" s="28">
        <v>1.0461030958390806E-4</v>
      </c>
      <c r="BT237" s="28">
        <v>0</v>
      </c>
      <c r="BU237" s="28">
        <v>0</v>
      </c>
      <c r="BV237" s="28">
        <v>0</v>
      </c>
      <c r="BW237" s="28">
        <v>7.5971616285385498E-4</v>
      </c>
      <c r="BX237" s="28">
        <v>9.8303286834978184E-4</v>
      </c>
      <c r="BY237" s="28">
        <v>1.5688813965467222E-3</v>
      </c>
      <c r="BZ237" s="28">
        <v>1.1373739536363977E-2</v>
      </c>
      <c r="CA237" s="28">
        <v>0</v>
      </c>
      <c r="CB237" s="28">
        <v>0</v>
      </c>
      <c r="CC237" s="28">
        <v>0</v>
      </c>
      <c r="CD237" s="28">
        <v>0</v>
      </c>
      <c r="CE237" s="28">
        <v>0</v>
      </c>
      <c r="CF237" s="28">
        <v>0</v>
      </c>
      <c r="CG237" s="28">
        <v>0</v>
      </c>
      <c r="CH237" s="28">
        <v>0</v>
      </c>
      <c r="CI237" s="28">
        <v>0</v>
      </c>
      <c r="CJ237" s="28">
        <v>0</v>
      </c>
      <c r="CK237" s="28">
        <v>0</v>
      </c>
      <c r="CL237" s="28">
        <v>6.5056647974656209E-3</v>
      </c>
      <c r="CM237" s="28">
        <v>0</v>
      </c>
      <c r="CN237" s="28">
        <v>0</v>
      </c>
      <c r="CO237" s="28">
        <v>0</v>
      </c>
      <c r="CP237" s="28">
        <v>0</v>
      </c>
      <c r="CQ237" s="28">
        <v>0</v>
      </c>
      <c r="CR237" s="28">
        <v>0</v>
      </c>
      <c r="CS237" s="28">
        <v>0</v>
      </c>
      <c r="CT237" s="28">
        <v>0</v>
      </c>
      <c r="CU237" s="28">
        <v>0</v>
      </c>
      <c r="CV237" s="28">
        <v>0</v>
      </c>
      <c r="CW237" s="28">
        <v>0</v>
      </c>
      <c r="CX237" s="28">
        <v>9.3946414256969077E-2</v>
      </c>
    </row>
    <row r="238" spans="1:102" x14ac:dyDescent="0.3">
      <c r="A238" s="3" t="s">
        <v>70</v>
      </c>
      <c r="B238" s="28">
        <v>1.2899610520580634E-3</v>
      </c>
      <c r="C238" s="28">
        <v>2.4512660398851279E-3</v>
      </c>
      <c r="D238" s="28">
        <v>0</v>
      </c>
      <c r="E238" s="28">
        <v>0</v>
      </c>
      <c r="F238" s="28">
        <v>0</v>
      </c>
      <c r="G238" s="28">
        <v>0</v>
      </c>
      <c r="H238" s="28">
        <v>0</v>
      </c>
      <c r="I238" s="28">
        <v>0</v>
      </c>
      <c r="J238" s="28">
        <v>0</v>
      </c>
      <c r="K238" s="28">
        <v>0</v>
      </c>
      <c r="L238" s="28">
        <v>0</v>
      </c>
      <c r="M238" s="28">
        <v>0</v>
      </c>
      <c r="N238" s="28">
        <v>6.3252192783394098E-2</v>
      </c>
      <c r="O238" s="28">
        <v>1.3476877785146754E-3</v>
      </c>
      <c r="P238" s="28">
        <v>3.4375388394617093E-3</v>
      </c>
      <c r="Q238" s="28">
        <v>0</v>
      </c>
      <c r="R238" s="28">
        <v>0</v>
      </c>
      <c r="S238" s="28">
        <v>0</v>
      </c>
      <c r="T238" s="28">
        <v>0</v>
      </c>
      <c r="U238" s="28">
        <v>1.8301491036952546E-4</v>
      </c>
      <c r="V238" s="28">
        <v>0</v>
      </c>
      <c r="W238" s="28">
        <v>0</v>
      </c>
      <c r="X238" s="28">
        <v>7.6285850579069074E-4</v>
      </c>
      <c r="Y238" s="28">
        <v>0</v>
      </c>
      <c r="Z238" s="28">
        <v>0</v>
      </c>
      <c r="AA238" s="28">
        <v>0</v>
      </c>
      <c r="AB238" s="28">
        <v>0</v>
      </c>
      <c r="AC238" s="28">
        <v>0</v>
      </c>
      <c r="AD238" s="28">
        <v>0</v>
      </c>
      <c r="AE238" s="28">
        <v>0</v>
      </c>
      <c r="AF238" s="28">
        <v>0</v>
      </c>
      <c r="AG238" s="28">
        <v>0</v>
      </c>
      <c r="AH238" s="28">
        <v>0</v>
      </c>
      <c r="AI238" s="28">
        <v>0</v>
      </c>
      <c r="AJ238" s="28">
        <v>0</v>
      </c>
      <c r="AK238" s="28">
        <v>0</v>
      </c>
      <c r="AL238" s="28">
        <v>0</v>
      </c>
      <c r="AM238" s="28">
        <v>0</v>
      </c>
      <c r="AN238" s="28">
        <v>0</v>
      </c>
      <c r="AO238" s="28">
        <v>0</v>
      </c>
      <c r="AP238" s="28">
        <v>0</v>
      </c>
      <c r="AQ238" s="28">
        <v>0</v>
      </c>
      <c r="AR238" s="28">
        <v>1.7333762181097759E-3</v>
      </c>
      <c r="AS238" s="28">
        <v>0</v>
      </c>
      <c r="AT238" s="28">
        <v>0</v>
      </c>
      <c r="AU238" s="28">
        <v>3.9211061652618786E-3</v>
      </c>
      <c r="AV238" s="28">
        <v>0</v>
      </c>
      <c r="AW238" s="28">
        <v>7.3677424019768839E-4</v>
      </c>
      <c r="AX238" s="28">
        <v>0</v>
      </c>
      <c r="AY238" s="28">
        <v>0</v>
      </c>
      <c r="AZ238" s="28">
        <v>0</v>
      </c>
      <c r="BA238" s="28">
        <v>4.1728926278832568E-3</v>
      </c>
      <c r="BB238" s="28">
        <v>0</v>
      </c>
      <c r="BC238" s="28">
        <v>0</v>
      </c>
      <c r="BD238" s="28">
        <v>0</v>
      </c>
      <c r="BE238" s="28">
        <v>0</v>
      </c>
      <c r="BF238" s="28">
        <v>0</v>
      </c>
      <c r="BG238" s="28">
        <v>0</v>
      </c>
      <c r="BH238" s="28">
        <v>0</v>
      </c>
      <c r="BI238" s="28">
        <v>0</v>
      </c>
      <c r="BJ238" s="28">
        <v>0</v>
      </c>
      <c r="BK238" s="28">
        <v>2.107993808365645E-4</v>
      </c>
      <c r="BL238" s="28">
        <v>0</v>
      </c>
      <c r="BM238" s="28">
        <v>0</v>
      </c>
      <c r="BN238" s="28">
        <v>0</v>
      </c>
      <c r="BO238" s="28">
        <v>0</v>
      </c>
      <c r="BP238" s="28">
        <v>0</v>
      </c>
      <c r="BQ238" s="28">
        <v>0</v>
      </c>
      <c r="BR238" s="28">
        <v>0</v>
      </c>
      <c r="BS238" s="28">
        <v>0</v>
      </c>
      <c r="BT238" s="28">
        <v>0</v>
      </c>
      <c r="BU238" s="28">
        <v>0</v>
      </c>
      <c r="BV238" s="28">
        <v>0</v>
      </c>
      <c r="BW238" s="28">
        <v>0</v>
      </c>
      <c r="BX238" s="28">
        <v>0</v>
      </c>
      <c r="BY238" s="28">
        <v>0</v>
      </c>
      <c r="BZ238" s="28">
        <v>1.8842232088899531E-2</v>
      </c>
      <c r="CA238" s="28">
        <v>0</v>
      </c>
      <c r="CB238" s="28">
        <v>0</v>
      </c>
      <c r="CC238" s="28">
        <v>0</v>
      </c>
      <c r="CD238" s="28">
        <v>0</v>
      </c>
      <c r="CE238" s="28">
        <v>0</v>
      </c>
      <c r="CF238" s="28">
        <v>0</v>
      </c>
      <c r="CG238" s="28">
        <v>0</v>
      </c>
      <c r="CH238" s="28">
        <v>0</v>
      </c>
      <c r="CI238" s="28">
        <v>0</v>
      </c>
      <c r="CJ238" s="28">
        <v>0</v>
      </c>
      <c r="CK238" s="28">
        <v>0</v>
      </c>
      <c r="CL238" s="28">
        <v>0</v>
      </c>
      <c r="CM238" s="28">
        <v>0</v>
      </c>
      <c r="CN238" s="28">
        <v>0</v>
      </c>
      <c r="CO238" s="28">
        <v>0</v>
      </c>
      <c r="CP238" s="28">
        <v>0</v>
      </c>
      <c r="CQ238" s="28">
        <v>0</v>
      </c>
      <c r="CR238" s="28">
        <v>0</v>
      </c>
      <c r="CS238" s="28">
        <v>0</v>
      </c>
      <c r="CT238" s="28">
        <v>0</v>
      </c>
      <c r="CU238" s="28">
        <v>0</v>
      </c>
      <c r="CV238" s="28">
        <v>0</v>
      </c>
      <c r="CW238" s="28">
        <v>0</v>
      </c>
      <c r="CX238" s="28">
        <v>0.10234170063066259</v>
      </c>
    </row>
    <row r="239" spans="1:102" x14ac:dyDescent="0.3">
      <c r="A239" s="3" t="s">
        <v>69</v>
      </c>
      <c r="B239" s="28">
        <v>0</v>
      </c>
      <c r="C239" s="28">
        <v>0</v>
      </c>
      <c r="D239" s="28">
        <v>0</v>
      </c>
      <c r="E239" s="28">
        <v>0</v>
      </c>
      <c r="F239" s="28">
        <v>4.3058555886446607E-3</v>
      </c>
      <c r="G239" s="28">
        <v>0</v>
      </c>
      <c r="H239" s="28">
        <v>0</v>
      </c>
      <c r="I239" s="28">
        <v>0</v>
      </c>
      <c r="J239" s="28">
        <v>3.8587819460336368E-3</v>
      </c>
      <c r="K239" s="28">
        <v>0</v>
      </c>
      <c r="L239" s="28">
        <v>0</v>
      </c>
      <c r="M239" s="28">
        <v>2.3821453384180705E-3</v>
      </c>
      <c r="N239" s="28">
        <v>2.4134017833791566E-3</v>
      </c>
      <c r="O239" s="28">
        <v>0</v>
      </c>
      <c r="P239" s="28">
        <v>0</v>
      </c>
      <c r="Q239" s="28">
        <v>0</v>
      </c>
      <c r="R239" s="28">
        <v>0</v>
      </c>
      <c r="S239" s="28">
        <v>0</v>
      </c>
      <c r="T239" s="28">
        <v>0</v>
      </c>
      <c r="U239" s="28">
        <v>0</v>
      </c>
      <c r="V239" s="28">
        <v>0</v>
      </c>
      <c r="W239" s="28">
        <v>0</v>
      </c>
      <c r="X239" s="28">
        <v>0</v>
      </c>
      <c r="Y239" s="28">
        <v>0</v>
      </c>
      <c r="Z239" s="28">
        <v>0</v>
      </c>
      <c r="AA239" s="28">
        <v>0</v>
      </c>
      <c r="AB239" s="28">
        <v>0</v>
      </c>
      <c r="AC239" s="28">
        <v>0</v>
      </c>
      <c r="AD239" s="28">
        <v>5.7951027719522208E-3</v>
      </c>
      <c r="AE239" s="28">
        <v>2.5204539688408268E-3</v>
      </c>
      <c r="AF239" s="28">
        <v>1.1504336523250923E-3</v>
      </c>
      <c r="AG239" s="28">
        <v>0</v>
      </c>
      <c r="AH239" s="28">
        <v>0</v>
      </c>
      <c r="AI239" s="28">
        <v>3.7045816047474352E-4</v>
      </c>
      <c r="AJ239" s="28">
        <v>0</v>
      </c>
      <c r="AK239" s="28">
        <v>0</v>
      </c>
      <c r="AL239" s="28">
        <v>9.4339640849806731E-3</v>
      </c>
      <c r="AM239" s="28">
        <v>0</v>
      </c>
      <c r="AN239" s="28">
        <v>0</v>
      </c>
      <c r="AO239" s="28">
        <v>0</v>
      </c>
      <c r="AP239" s="28">
        <v>0</v>
      </c>
      <c r="AQ239" s="28">
        <v>0</v>
      </c>
      <c r="AR239" s="28">
        <v>0</v>
      </c>
      <c r="AS239" s="28">
        <v>0</v>
      </c>
      <c r="AT239" s="28">
        <v>0</v>
      </c>
      <c r="AU239" s="28">
        <v>0</v>
      </c>
      <c r="AV239" s="28">
        <v>0</v>
      </c>
      <c r="AW239" s="28">
        <v>0</v>
      </c>
      <c r="AX239" s="28">
        <v>0</v>
      </c>
      <c r="AY239" s="28">
        <v>0</v>
      </c>
      <c r="AZ239" s="28">
        <v>0</v>
      </c>
      <c r="BA239" s="28">
        <v>0</v>
      </c>
      <c r="BB239" s="28">
        <v>0</v>
      </c>
      <c r="BC239" s="28">
        <v>0</v>
      </c>
      <c r="BD239" s="28">
        <v>0</v>
      </c>
      <c r="BE239" s="28">
        <v>0</v>
      </c>
      <c r="BF239" s="28">
        <v>5.6232541305832248E-6</v>
      </c>
      <c r="BG239" s="28">
        <v>1.9257465925438353E-3</v>
      </c>
      <c r="BH239" s="28">
        <v>0</v>
      </c>
      <c r="BI239" s="28">
        <v>0</v>
      </c>
      <c r="BJ239" s="28">
        <v>0</v>
      </c>
      <c r="BK239" s="28">
        <v>0</v>
      </c>
      <c r="BL239" s="28">
        <v>0</v>
      </c>
      <c r="BM239" s="28">
        <v>0</v>
      </c>
      <c r="BN239" s="28">
        <v>1.2066076406569463E-3</v>
      </c>
      <c r="BO239" s="28">
        <v>0</v>
      </c>
      <c r="BP239" s="28">
        <v>5.4756962989005627E-3</v>
      </c>
      <c r="BQ239" s="28">
        <v>0</v>
      </c>
      <c r="BR239" s="28">
        <v>0</v>
      </c>
      <c r="BS239" s="28">
        <v>0</v>
      </c>
      <c r="BT239" s="28">
        <v>2.0145063952089494E-3</v>
      </c>
      <c r="BU239" s="28">
        <v>0</v>
      </c>
      <c r="BV239" s="28">
        <v>0</v>
      </c>
      <c r="BW239" s="28">
        <v>0</v>
      </c>
      <c r="BX239" s="28">
        <v>0</v>
      </c>
      <c r="BY239" s="28">
        <v>0</v>
      </c>
      <c r="BZ239" s="28">
        <v>1.3336881961621956E-2</v>
      </c>
      <c r="CA239" s="28">
        <v>8.9767781269007284E-4</v>
      </c>
      <c r="CB239" s="28">
        <v>0</v>
      </c>
      <c r="CC239" s="28">
        <v>0</v>
      </c>
      <c r="CD239" s="28">
        <v>1.1159698055671946E-3</v>
      </c>
      <c r="CE239" s="28">
        <v>0</v>
      </c>
      <c r="CF239" s="28">
        <v>0</v>
      </c>
      <c r="CG239" s="28">
        <v>0</v>
      </c>
      <c r="CH239" s="28">
        <v>0</v>
      </c>
      <c r="CI239" s="28">
        <v>5.6223368006575649E-3</v>
      </c>
      <c r="CJ239" s="28">
        <v>0</v>
      </c>
      <c r="CK239" s="28">
        <v>0</v>
      </c>
      <c r="CL239" s="28">
        <v>0</v>
      </c>
      <c r="CM239" s="28">
        <v>0</v>
      </c>
      <c r="CN239" s="28">
        <v>0</v>
      </c>
      <c r="CO239" s="28">
        <v>0</v>
      </c>
      <c r="CP239" s="28">
        <v>0</v>
      </c>
      <c r="CQ239" s="28">
        <v>0</v>
      </c>
      <c r="CR239" s="28">
        <v>0</v>
      </c>
      <c r="CS239" s="28">
        <v>1.5648824452868704E-5</v>
      </c>
      <c r="CT239" s="28">
        <v>0</v>
      </c>
      <c r="CU239" s="28">
        <v>0</v>
      </c>
      <c r="CV239" s="28">
        <v>0</v>
      </c>
      <c r="CW239" s="28">
        <v>0</v>
      </c>
      <c r="CX239" s="28">
        <v>6.3847292681479609E-2</v>
      </c>
    </row>
    <row r="240" spans="1:102" x14ac:dyDescent="0.3">
      <c r="A240" s="3" t="s">
        <v>513</v>
      </c>
      <c r="B240" s="28">
        <v>0</v>
      </c>
      <c r="C240" s="28">
        <v>0</v>
      </c>
      <c r="D240" s="28">
        <v>0</v>
      </c>
      <c r="E240" s="28">
        <v>0</v>
      </c>
      <c r="F240" s="28">
        <v>0</v>
      </c>
      <c r="G240" s="28">
        <v>0</v>
      </c>
      <c r="H240" s="28">
        <v>0</v>
      </c>
      <c r="I240" s="28">
        <v>0</v>
      </c>
      <c r="J240" s="28">
        <v>0</v>
      </c>
      <c r="K240" s="28">
        <v>0</v>
      </c>
      <c r="L240" s="28">
        <v>0</v>
      </c>
      <c r="M240" s="28">
        <v>0</v>
      </c>
      <c r="N240" s="28">
        <v>5.3441212604853116E-3</v>
      </c>
      <c r="O240" s="28">
        <v>0</v>
      </c>
      <c r="P240" s="28">
        <v>0</v>
      </c>
      <c r="Q240" s="28">
        <v>0</v>
      </c>
      <c r="R240" s="28">
        <v>0</v>
      </c>
      <c r="S240" s="28">
        <v>0</v>
      </c>
      <c r="T240" s="28">
        <v>0</v>
      </c>
      <c r="U240" s="28">
        <v>0</v>
      </c>
      <c r="V240" s="28">
        <v>0</v>
      </c>
      <c r="W240" s="28">
        <v>0</v>
      </c>
      <c r="X240" s="28">
        <v>0</v>
      </c>
      <c r="Y240" s="28">
        <v>0</v>
      </c>
      <c r="Z240" s="28">
        <v>0</v>
      </c>
      <c r="AA240" s="28">
        <v>0</v>
      </c>
      <c r="AB240" s="28">
        <v>0</v>
      </c>
      <c r="AC240" s="28">
        <v>0</v>
      </c>
      <c r="AD240" s="28">
        <v>0</v>
      </c>
      <c r="AE240" s="28">
        <v>0</v>
      </c>
      <c r="AF240" s="28">
        <v>0</v>
      </c>
      <c r="AG240" s="28">
        <v>0</v>
      </c>
      <c r="AH240" s="28">
        <v>0</v>
      </c>
      <c r="AI240" s="28">
        <v>0</v>
      </c>
      <c r="AJ240" s="28">
        <v>0</v>
      </c>
      <c r="AK240" s="28">
        <v>0</v>
      </c>
      <c r="AL240" s="28">
        <v>0</v>
      </c>
      <c r="AM240" s="28">
        <v>0</v>
      </c>
      <c r="AN240" s="28">
        <v>0</v>
      </c>
      <c r="AO240" s="28">
        <v>1.7833739520012517E-3</v>
      </c>
      <c r="AP240" s="28">
        <v>0</v>
      </c>
      <c r="AQ240" s="28">
        <v>0</v>
      </c>
      <c r="AR240" s="28">
        <v>2.1067815449414278E-3</v>
      </c>
      <c r="AS240" s="28">
        <v>0</v>
      </c>
      <c r="AT240" s="28">
        <v>0</v>
      </c>
      <c r="AU240" s="28">
        <v>0</v>
      </c>
      <c r="AV240" s="28">
        <v>0</v>
      </c>
      <c r="AW240" s="28">
        <v>0</v>
      </c>
      <c r="AX240" s="28">
        <v>0</v>
      </c>
      <c r="AY240" s="28">
        <v>0</v>
      </c>
      <c r="AZ240" s="28">
        <v>0</v>
      </c>
      <c r="BA240" s="28">
        <v>0</v>
      </c>
      <c r="BB240" s="28">
        <v>0</v>
      </c>
      <c r="BC240" s="28">
        <v>0</v>
      </c>
      <c r="BD240" s="28">
        <v>0</v>
      </c>
      <c r="BE240" s="28">
        <v>0</v>
      </c>
      <c r="BF240" s="28">
        <v>0</v>
      </c>
      <c r="BG240" s="28">
        <v>0</v>
      </c>
      <c r="BH240" s="28">
        <v>0</v>
      </c>
      <c r="BI240" s="28">
        <v>0</v>
      </c>
      <c r="BJ240" s="28">
        <v>0</v>
      </c>
      <c r="BK240" s="28">
        <v>0</v>
      </c>
      <c r="BL240" s="28">
        <v>0</v>
      </c>
      <c r="BM240" s="28">
        <v>0</v>
      </c>
      <c r="BN240" s="28">
        <v>0</v>
      </c>
      <c r="BO240" s="28">
        <v>0</v>
      </c>
      <c r="BP240" s="28">
        <v>0</v>
      </c>
      <c r="BQ240" s="28">
        <v>3.4599798088960614E-3</v>
      </c>
      <c r="BR240" s="28">
        <v>0</v>
      </c>
      <c r="BS240" s="28">
        <v>0</v>
      </c>
      <c r="BT240" s="28">
        <v>0</v>
      </c>
      <c r="BU240" s="28">
        <v>0</v>
      </c>
      <c r="BV240" s="28">
        <v>0</v>
      </c>
      <c r="BW240" s="28">
        <v>0</v>
      </c>
      <c r="BX240" s="28">
        <v>0</v>
      </c>
      <c r="BY240" s="28">
        <v>0</v>
      </c>
      <c r="BZ240" s="28">
        <v>1.8264357608306969E-2</v>
      </c>
      <c r="CA240" s="28">
        <v>0</v>
      </c>
      <c r="CB240" s="28">
        <v>0</v>
      </c>
      <c r="CC240" s="28">
        <v>0</v>
      </c>
      <c r="CD240" s="28">
        <v>0</v>
      </c>
      <c r="CE240" s="28">
        <v>0</v>
      </c>
      <c r="CF240" s="28">
        <v>9.2166718299185131E-5</v>
      </c>
      <c r="CG240" s="28">
        <v>1.453811790907356E-3</v>
      </c>
      <c r="CH240" s="28">
        <v>0</v>
      </c>
      <c r="CI240" s="28">
        <v>0</v>
      </c>
      <c r="CJ240" s="28">
        <v>0</v>
      </c>
      <c r="CK240" s="28">
        <v>1.2549290245897095E-3</v>
      </c>
      <c r="CL240" s="28">
        <v>0</v>
      </c>
      <c r="CM240" s="28">
        <v>5.2818252334297256E-4</v>
      </c>
      <c r="CN240" s="28">
        <v>0</v>
      </c>
      <c r="CO240" s="28">
        <v>0</v>
      </c>
      <c r="CP240" s="28">
        <v>0</v>
      </c>
      <c r="CQ240" s="28">
        <v>0</v>
      </c>
      <c r="CR240" s="28">
        <v>0</v>
      </c>
      <c r="CS240" s="28">
        <v>0</v>
      </c>
      <c r="CT240" s="28">
        <v>0</v>
      </c>
      <c r="CU240" s="28">
        <v>0</v>
      </c>
      <c r="CV240" s="28">
        <v>0</v>
      </c>
      <c r="CW240" s="28">
        <v>0</v>
      </c>
      <c r="CX240" s="28">
        <v>3.4287704231770244E-2</v>
      </c>
    </row>
    <row r="241" spans="1:102" x14ac:dyDescent="0.3">
      <c r="A241" s="3" t="s">
        <v>507</v>
      </c>
      <c r="B241" s="28">
        <v>0</v>
      </c>
      <c r="C241" s="28">
        <v>0</v>
      </c>
      <c r="D241" s="28">
        <v>0</v>
      </c>
      <c r="E241" s="28">
        <v>0</v>
      </c>
      <c r="F241" s="28">
        <v>0</v>
      </c>
      <c r="G241" s="28">
        <v>0</v>
      </c>
      <c r="H241" s="28">
        <v>5.8038141533029927E-4</v>
      </c>
      <c r="I241" s="28">
        <v>0</v>
      </c>
      <c r="J241" s="28">
        <v>0</v>
      </c>
      <c r="K241" s="28">
        <v>0</v>
      </c>
      <c r="L241" s="28">
        <v>1.711028499708056E-3</v>
      </c>
      <c r="M241" s="28">
        <v>0</v>
      </c>
      <c r="N241" s="28">
        <v>2.3494012141922027E-3</v>
      </c>
      <c r="O241" s="28">
        <v>0</v>
      </c>
      <c r="P241" s="28">
        <v>0</v>
      </c>
      <c r="Q241" s="28">
        <v>0</v>
      </c>
      <c r="R241" s="28">
        <v>0</v>
      </c>
      <c r="S241" s="28">
        <v>0</v>
      </c>
      <c r="T241" s="28">
        <v>1.684733877134465E-3</v>
      </c>
      <c r="U241" s="28">
        <v>0</v>
      </c>
      <c r="V241" s="28">
        <v>2.1184791279650938E-3</v>
      </c>
      <c r="W241" s="28">
        <v>0</v>
      </c>
      <c r="X241" s="28">
        <v>0</v>
      </c>
      <c r="Y241" s="28">
        <v>0</v>
      </c>
      <c r="Z241" s="28">
        <v>1.3675871151526359E-3</v>
      </c>
      <c r="AA241" s="28">
        <v>0</v>
      </c>
      <c r="AB241" s="28">
        <v>0</v>
      </c>
      <c r="AC241" s="28">
        <v>0</v>
      </c>
      <c r="AD241" s="28">
        <v>0</v>
      </c>
      <c r="AE241" s="28">
        <v>0</v>
      </c>
      <c r="AF241" s="28">
        <v>0</v>
      </c>
      <c r="AG241" s="28">
        <v>0</v>
      </c>
      <c r="AH241" s="28">
        <v>0</v>
      </c>
      <c r="AI241" s="28">
        <v>0</v>
      </c>
      <c r="AJ241" s="28">
        <v>1.3382846046194926E-3</v>
      </c>
      <c r="AK241" s="28">
        <v>0</v>
      </c>
      <c r="AL241" s="28">
        <v>0</v>
      </c>
      <c r="AM241" s="28">
        <v>0</v>
      </c>
      <c r="AN241" s="28">
        <v>0</v>
      </c>
      <c r="AO241" s="28">
        <v>5.7538294311835127E-3</v>
      </c>
      <c r="AP241" s="28">
        <v>0</v>
      </c>
      <c r="AQ241" s="28">
        <v>0</v>
      </c>
      <c r="AR241" s="28">
        <v>1.4375058719687307E-3</v>
      </c>
      <c r="AS241" s="28">
        <v>0</v>
      </c>
      <c r="AT241" s="28">
        <v>0</v>
      </c>
      <c r="AU241" s="28">
        <v>0</v>
      </c>
      <c r="AV241" s="28">
        <v>0</v>
      </c>
      <c r="AW241" s="28">
        <v>0</v>
      </c>
      <c r="AX241" s="28">
        <v>0</v>
      </c>
      <c r="AY241" s="28">
        <v>0</v>
      </c>
      <c r="AZ241" s="28">
        <v>0</v>
      </c>
      <c r="BA241" s="28">
        <v>0</v>
      </c>
      <c r="BB241" s="28">
        <v>0</v>
      </c>
      <c r="BC241" s="28">
        <v>0</v>
      </c>
      <c r="BD241" s="28">
        <v>0</v>
      </c>
      <c r="BE241" s="28">
        <v>0</v>
      </c>
      <c r="BF241" s="28">
        <v>0</v>
      </c>
      <c r="BG241" s="28">
        <v>0</v>
      </c>
      <c r="BH241" s="28">
        <v>0</v>
      </c>
      <c r="BI241" s="28">
        <v>0</v>
      </c>
      <c r="BJ241" s="28">
        <v>1.5457421286819619E-3</v>
      </c>
      <c r="BK241" s="28">
        <v>0</v>
      </c>
      <c r="BL241" s="28">
        <v>0</v>
      </c>
      <c r="BM241" s="28">
        <v>0</v>
      </c>
      <c r="BN241" s="28">
        <v>0</v>
      </c>
      <c r="BO241" s="28">
        <v>0</v>
      </c>
      <c r="BP241" s="28">
        <v>0</v>
      </c>
      <c r="BQ241" s="28">
        <v>0</v>
      </c>
      <c r="BR241" s="28">
        <v>0</v>
      </c>
      <c r="BS241" s="28">
        <v>0</v>
      </c>
      <c r="BT241" s="28">
        <v>0</v>
      </c>
      <c r="BU241" s="28">
        <v>0</v>
      </c>
      <c r="BV241" s="28">
        <v>0</v>
      </c>
      <c r="BW241" s="28">
        <v>0</v>
      </c>
      <c r="BX241" s="28">
        <v>0</v>
      </c>
      <c r="BY241" s="28">
        <v>0</v>
      </c>
      <c r="BZ241" s="28">
        <v>1.9763875416976058E-2</v>
      </c>
      <c r="CA241" s="28">
        <v>0</v>
      </c>
      <c r="CB241" s="28">
        <v>2.1204005329630484E-3</v>
      </c>
      <c r="CC241" s="28">
        <v>0</v>
      </c>
      <c r="CD241" s="28">
        <v>0</v>
      </c>
      <c r="CE241" s="28">
        <v>0</v>
      </c>
      <c r="CF241" s="28">
        <v>0</v>
      </c>
      <c r="CG241" s="28">
        <v>0</v>
      </c>
      <c r="CH241" s="28">
        <v>0</v>
      </c>
      <c r="CI241" s="28">
        <v>0</v>
      </c>
      <c r="CJ241" s="28">
        <v>0</v>
      </c>
      <c r="CK241" s="28">
        <v>0</v>
      </c>
      <c r="CL241" s="28">
        <v>0</v>
      </c>
      <c r="CM241" s="28">
        <v>0</v>
      </c>
      <c r="CN241" s="28">
        <v>0</v>
      </c>
      <c r="CO241" s="28">
        <v>0</v>
      </c>
      <c r="CP241" s="28">
        <v>0</v>
      </c>
      <c r="CQ241" s="28">
        <v>0</v>
      </c>
      <c r="CR241" s="28">
        <v>0</v>
      </c>
      <c r="CS241" s="28">
        <v>0</v>
      </c>
      <c r="CT241" s="28">
        <v>0</v>
      </c>
      <c r="CU241" s="28">
        <v>0</v>
      </c>
      <c r="CV241" s="28">
        <v>0</v>
      </c>
      <c r="CW241" s="28">
        <v>1.3528686323974225E-3</v>
      </c>
      <c r="CX241" s="28">
        <v>4.3124117868272978E-2</v>
      </c>
    </row>
    <row r="242" spans="1:102" x14ac:dyDescent="0.3">
      <c r="A242" s="3" t="s">
        <v>505</v>
      </c>
      <c r="B242" s="28">
        <v>0</v>
      </c>
      <c r="C242" s="28">
        <v>0</v>
      </c>
      <c r="D242" s="28">
        <v>0</v>
      </c>
      <c r="E242" s="28">
        <v>0</v>
      </c>
      <c r="F242" s="28">
        <v>0</v>
      </c>
      <c r="G242" s="28">
        <v>0</v>
      </c>
      <c r="H242" s="28">
        <v>0</v>
      </c>
      <c r="I242" s="28">
        <v>0</v>
      </c>
      <c r="J242" s="28">
        <v>0</v>
      </c>
      <c r="K242" s="28">
        <v>0</v>
      </c>
      <c r="L242" s="28">
        <v>0</v>
      </c>
      <c r="M242" s="28">
        <v>0</v>
      </c>
      <c r="N242" s="28">
        <v>2.4605412646890247E-3</v>
      </c>
      <c r="O242" s="28">
        <v>0</v>
      </c>
      <c r="P242" s="28">
        <v>0</v>
      </c>
      <c r="Q242" s="28">
        <v>0</v>
      </c>
      <c r="R242" s="28">
        <v>0</v>
      </c>
      <c r="S242" s="28">
        <v>0</v>
      </c>
      <c r="T242" s="28">
        <v>0</v>
      </c>
      <c r="U242" s="28">
        <v>0</v>
      </c>
      <c r="V242" s="28">
        <v>0</v>
      </c>
      <c r="W242" s="28">
        <v>0</v>
      </c>
      <c r="X242" s="28">
        <v>0</v>
      </c>
      <c r="Y242" s="28">
        <v>2.4880871860028186E-3</v>
      </c>
      <c r="Z242" s="28">
        <v>0</v>
      </c>
      <c r="AA242" s="28">
        <v>0</v>
      </c>
      <c r="AB242" s="28">
        <v>0</v>
      </c>
      <c r="AC242" s="28">
        <v>0</v>
      </c>
      <c r="AD242" s="28">
        <v>0</v>
      </c>
      <c r="AE242" s="28">
        <v>0</v>
      </c>
      <c r="AF242" s="28">
        <v>0</v>
      </c>
      <c r="AG242" s="28">
        <v>0</v>
      </c>
      <c r="AH242" s="28">
        <v>0</v>
      </c>
      <c r="AI242" s="28">
        <v>0</v>
      </c>
      <c r="AJ242" s="28">
        <v>0</v>
      </c>
      <c r="AK242" s="28">
        <v>0</v>
      </c>
      <c r="AL242" s="28">
        <v>0</v>
      </c>
      <c r="AM242" s="28">
        <v>0</v>
      </c>
      <c r="AN242" s="28">
        <v>0</v>
      </c>
      <c r="AO242" s="28">
        <v>0</v>
      </c>
      <c r="AP242" s="28">
        <v>0</v>
      </c>
      <c r="AQ242" s="28">
        <v>0</v>
      </c>
      <c r="AR242" s="28">
        <v>2.6445407324728518E-3</v>
      </c>
      <c r="AS242" s="28">
        <v>0</v>
      </c>
      <c r="AT242" s="28">
        <v>0</v>
      </c>
      <c r="AU242" s="28">
        <v>0</v>
      </c>
      <c r="AV242" s="28">
        <v>0</v>
      </c>
      <c r="AW242" s="28">
        <v>0</v>
      </c>
      <c r="AX242" s="28">
        <v>0</v>
      </c>
      <c r="AY242" s="28">
        <v>0</v>
      </c>
      <c r="AZ242" s="28">
        <v>0</v>
      </c>
      <c r="BA242" s="28">
        <v>0</v>
      </c>
      <c r="BB242" s="28">
        <v>0</v>
      </c>
      <c r="BC242" s="28">
        <v>0</v>
      </c>
      <c r="BD242" s="28">
        <v>0</v>
      </c>
      <c r="BE242" s="28">
        <v>0</v>
      </c>
      <c r="BF242" s="28">
        <v>0</v>
      </c>
      <c r="BG242" s="28">
        <v>0</v>
      </c>
      <c r="BH242" s="28">
        <v>0</v>
      </c>
      <c r="BI242" s="28">
        <v>0</v>
      </c>
      <c r="BJ242" s="28">
        <v>0</v>
      </c>
      <c r="BK242" s="28">
        <v>0</v>
      </c>
      <c r="BL242" s="28">
        <v>0</v>
      </c>
      <c r="BM242" s="28">
        <v>0</v>
      </c>
      <c r="BN242" s="28">
        <v>0</v>
      </c>
      <c r="BO242" s="28">
        <v>0</v>
      </c>
      <c r="BP242" s="28">
        <v>5.1311922862988696E-5</v>
      </c>
      <c r="BQ242" s="28">
        <v>0</v>
      </c>
      <c r="BR242" s="28">
        <v>0</v>
      </c>
      <c r="BS242" s="28">
        <v>0</v>
      </c>
      <c r="BT242" s="28">
        <v>0</v>
      </c>
      <c r="BU242" s="28">
        <v>0</v>
      </c>
      <c r="BV242" s="28">
        <v>0</v>
      </c>
      <c r="BW242" s="28">
        <v>0</v>
      </c>
      <c r="BX242" s="28">
        <v>0</v>
      </c>
      <c r="BY242" s="28">
        <v>0</v>
      </c>
      <c r="BZ242" s="28">
        <v>1.1081401886319623E-2</v>
      </c>
      <c r="CA242" s="28">
        <v>0</v>
      </c>
      <c r="CB242" s="28">
        <v>0</v>
      </c>
      <c r="CC242" s="28">
        <v>0</v>
      </c>
      <c r="CD242" s="28">
        <v>0</v>
      </c>
      <c r="CE242" s="28">
        <v>0</v>
      </c>
      <c r="CF242" s="28">
        <v>0</v>
      </c>
      <c r="CG242" s="28">
        <v>0</v>
      </c>
      <c r="CH242" s="28">
        <v>0</v>
      </c>
      <c r="CI242" s="28">
        <v>0</v>
      </c>
      <c r="CJ242" s="28">
        <v>8.8524506454867923E-4</v>
      </c>
      <c r="CK242" s="28">
        <v>0</v>
      </c>
      <c r="CL242" s="28">
        <v>0</v>
      </c>
      <c r="CM242" s="28">
        <v>0</v>
      </c>
      <c r="CN242" s="28">
        <v>0</v>
      </c>
      <c r="CO242" s="28">
        <v>4.9501768515592694E-4</v>
      </c>
      <c r="CP242" s="28">
        <v>0</v>
      </c>
      <c r="CQ242" s="28">
        <v>0</v>
      </c>
      <c r="CR242" s="28">
        <v>0</v>
      </c>
      <c r="CS242" s="28">
        <v>0</v>
      </c>
      <c r="CT242" s="28">
        <v>0</v>
      </c>
      <c r="CU242" s="28">
        <v>0</v>
      </c>
      <c r="CV242" s="28">
        <v>0</v>
      </c>
      <c r="CW242" s="28">
        <v>0</v>
      </c>
      <c r="CX242" s="28">
        <v>2.0106145742051912E-2</v>
      </c>
    </row>
    <row r="243" spans="1:102" x14ac:dyDescent="0.3">
      <c r="A243" s="3" t="s">
        <v>506</v>
      </c>
      <c r="B243" s="28">
        <v>0</v>
      </c>
      <c r="C243" s="28">
        <v>0</v>
      </c>
      <c r="D243" s="28">
        <v>0</v>
      </c>
      <c r="E243" s="28">
        <v>0</v>
      </c>
      <c r="F243" s="28">
        <v>0</v>
      </c>
      <c r="G243" s="28">
        <v>0</v>
      </c>
      <c r="H243" s="28">
        <v>2.0107134636723548E-3</v>
      </c>
      <c r="I243" s="28">
        <v>0</v>
      </c>
      <c r="J243" s="28">
        <v>0</v>
      </c>
      <c r="K243" s="28">
        <v>2.3157657835846646E-3</v>
      </c>
      <c r="L243" s="28">
        <v>0</v>
      </c>
      <c r="M243" s="28">
        <v>0</v>
      </c>
      <c r="N243" s="28">
        <v>6.616976169627046E-3</v>
      </c>
      <c r="O243" s="28">
        <v>0</v>
      </c>
      <c r="P243" s="28">
        <v>0</v>
      </c>
      <c r="Q243" s="28">
        <v>0</v>
      </c>
      <c r="R243" s="28">
        <v>0</v>
      </c>
      <c r="S243" s="28">
        <v>0</v>
      </c>
      <c r="T243" s="28">
        <v>0</v>
      </c>
      <c r="U243" s="28">
        <v>0</v>
      </c>
      <c r="V243" s="28">
        <v>0</v>
      </c>
      <c r="W243" s="28">
        <v>0</v>
      </c>
      <c r="X243" s="28">
        <v>0</v>
      </c>
      <c r="Y243" s="28">
        <v>0</v>
      </c>
      <c r="Z243" s="28">
        <v>0</v>
      </c>
      <c r="AA243" s="28">
        <v>0</v>
      </c>
      <c r="AB243" s="28">
        <v>0</v>
      </c>
      <c r="AC243" s="28">
        <v>0</v>
      </c>
      <c r="AD243" s="28">
        <v>0</v>
      </c>
      <c r="AE243" s="28">
        <v>0</v>
      </c>
      <c r="AF243" s="28">
        <v>0</v>
      </c>
      <c r="AG243" s="28">
        <v>0</v>
      </c>
      <c r="AH243" s="28">
        <v>0</v>
      </c>
      <c r="AI243" s="28">
        <v>0</v>
      </c>
      <c r="AJ243" s="28">
        <v>0</v>
      </c>
      <c r="AK243" s="28">
        <v>0</v>
      </c>
      <c r="AL243" s="28">
        <v>0</v>
      </c>
      <c r="AM243" s="28">
        <v>0</v>
      </c>
      <c r="AN243" s="28">
        <v>0</v>
      </c>
      <c r="AO243" s="28">
        <v>0</v>
      </c>
      <c r="AP243" s="28">
        <v>0</v>
      </c>
      <c r="AQ243" s="28">
        <v>0</v>
      </c>
      <c r="AR243" s="28">
        <v>3.5736528176746117E-3</v>
      </c>
      <c r="AS243" s="28">
        <v>1.0764226932165138E-3</v>
      </c>
      <c r="AT243" s="28">
        <v>0</v>
      </c>
      <c r="AU243" s="28">
        <v>1.9887604356878218E-3</v>
      </c>
      <c r="AV243" s="28">
        <v>0</v>
      </c>
      <c r="AW243" s="28">
        <v>0</v>
      </c>
      <c r="AX243" s="28">
        <v>0</v>
      </c>
      <c r="AY243" s="28">
        <v>0</v>
      </c>
      <c r="AZ243" s="28">
        <v>0</v>
      </c>
      <c r="BA243" s="28">
        <v>1.520776875480545E-3</v>
      </c>
      <c r="BB243" s="28">
        <v>2.5782392482714168E-3</v>
      </c>
      <c r="BC243" s="28">
        <v>0</v>
      </c>
      <c r="BD243" s="28">
        <v>0</v>
      </c>
      <c r="BE243" s="28">
        <v>0</v>
      </c>
      <c r="BF243" s="28">
        <v>0</v>
      </c>
      <c r="BG243" s="28">
        <v>0</v>
      </c>
      <c r="BH243" s="28">
        <v>0</v>
      </c>
      <c r="BI243" s="28">
        <v>0</v>
      </c>
      <c r="BJ243" s="28">
        <v>0</v>
      </c>
      <c r="BK243" s="28">
        <v>0</v>
      </c>
      <c r="BL243" s="28">
        <v>0</v>
      </c>
      <c r="BM243" s="28">
        <v>0</v>
      </c>
      <c r="BN243" s="28">
        <v>0</v>
      </c>
      <c r="BO243" s="28">
        <v>0</v>
      </c>
      <c r="BP243" s="28">
        <v>0</v>
      </c>
      <c r="BQ243" s="28">
        <v>0</v>
      </c>
      <c r="BR243" s="28">
        <v>0</v>
      </c>
      <c r="BS243" s="28">
        <v>0</v>
      </c>
      <c r="BT243" s="28">
        <v>0</v>
      </c>
      <c r="BU243" s="28">
        <v>0</v>
      </c>
      <c r="BV243" s="28">
        <v>5.3683968897709836E-4</v>
      </c>
      <c r="BW243" s="28">
        <v>0</v>
      </c>
      <c r="BX243" s="28">
        <v>0</v>
      </c>
      <c r="BY243" s="28">
        <v>0</v>
      </c>
      <c r="BZ243" s="28">
        <v>2.185500596883595E-3</v>
      </c>
      <c r="CA243" s="28">
        <v>0</v>
      </c>
      <c r="CB243" s="28">
        <v>0</v>
      </c>
      <c r="CC243" s="28">
        <v>0</v>
      </c>
      <c r="CD243" s="28">
        <v>0</v>
      </c>
      <c r="CE243" s="28">
        <v>0</v>
      </c>
      <c r="CF243" s="28">
        <v>0</v>
      </c>
      <c r="CG243" s="28">
        <v>0</v>
      </c>
      <c r="CH243" s="28">
        <v>0</v>
      </c>
      <c r="CI243" s="28">
        <v>0</v>
      </c>
      <c r="CJ243" s="28">
        <v>0</v>
      </c>
      <c r="CK243" s="28">
        <v>0</v>
      </c>
      <c r="CL243" s="28">
        <v>0</v>
      </c>
      <c r="CM243" s="28">
        <v>0</v>
      </c>
      <c r="CN243" s="28">
        <v>3.4822624684378053E-3</v>
      </c>
      <c r="CO243" s="28">
        <v>0</v>
      </c>
      <c r="CP243" s="28">
        <v>0</v>
      </c>
      <c r="CQ243" s="28">
        <v>0</v>
      </c>
      <c r="CR243" s="28">
        <v>0</v>
      </c>
      <c r="CS243" s="28">
        <v>0</v>
      </c>
      <c r="CT243" s="28">
        <v>0</v>
      </c>
      <c r="CU243" s="28">
        <v>0</v>
      </c>
      <c r="CV243" s="28">
        <v>0</v>
      </c>
      <c r="CW243" s="28">
        <v>0</v>
      </c>
      <c r="CX243" s="28">
        <v>2.7885910241513472E-2</v>
      </c>
    </row>
    <row r="244" spans="1:102" x14ac:dyDescent="0.3">
      <c r="A244" s="3" t="s">
        <v>508</v>
      </c>
      <c r="B244" s="28">
        <v>0</v>
      </c>
      <c r="C244" s="28">
        <v>0</v>
      </c>
      <c r="D244" s="28">
        <v>3.4082384975572317E-4</v>
      </c>
      <c r="E244" s="28">
        <v>9.3991836184375589E-4</v>
      </c>
      <c r="F244" s="28">
        <v>0</v>
      </c>
      <c r="G244" s="28">
        <v>0</v>
      </c>
      <c r="H244" s="28">
        <v>7.0273761328696574E-4</v>
      </c>
      <c r="I244" s="28">
        <v>0</v>
      </c>
      <c r="J244" s="28">
        <v>0</v>
      </c>
      <c r="K244" s="28">
        <v>0</v>
      </c>
      <c r="L244" s="28">
        <v>2.1733888057847493E-3</v>
      </c>
      <c r="M244" s="28">
        <v>0</v>
      </c>
      <c r="N244" s="28">
        <v>1.2099230401613179E-2</v>
      </c>
      <c r="O244" s="28">
        <v>0</v>
      </c>
      <c r="P244" s="28">
        <v>0</v>
      </c>
      <c r="Q244" s="28">
        <v>0</v>
      </c>
      <c r="R244" s="28">
        <v>0</v>
      </c>
      <c r="S244" s="28">
        <v>2.4481171910622945E-3</v>
      </c>
      <c r="T244" s="28">
        <v>0</v>
      </c>
      <c r="U244" s="28">
        <v>0</v>
      </c>
      <c r="V244" s="28">
        <v>0</v>
      </c>
      <c r="W244" s="28">
        <v>1.7389951349830275E-3</v>
      </c>
      <c r="X244" s="28">
        <v>0</v>
      </c>
      <c r="Y244" s="28">
        <v>0</v>
      </c>
      <c r="Z244" s="28">
        <v>1.6661378863246882E-3</v>
      </c>
      <c r="AA244" s="28">
        <v>0</v>
      </c>
      <c r="AB244" s="28">
        <v>0</v>
      </c>
      <c r="AC244" s="28">
        <v>0</v>
      </c>
      <c r="AD244" s="28">
        <v>0</v>
      </c>
      <c r="AE244" s="28">
        <v>0</v>
      </c>
      <c r="AF244" s="28">
        <v>0</v>
      </c>
      <c r="AG244" s="28">
        <v>0</v>
      </c>
      <c r="AH244" s="28">
        <v>0</v>
      </c>
      <c r="AI244" s="28">
        <v>0</v>
      </c>
      <c r="AJ244" s="28">
        <v>0</v>
      </c>
      <c r="AK244" s="28">
        <v>1.5118204390905301E-3</v>
      </c>
      <c r="AL244" s="28">
        <v>0</v>
      </c>
      <c r="AM244" s="28">
        <v>0</v>
      </c>
      <c r="AN244" s="28">
        <v>2.6263394320802624E-4</v>
      </c>
      <c r="AO244" s="28">
        <v>3.1679891394382452E-3</v>
      </c>
      <c r="AP244" s="28">
        <v>1.3061129983614123E-3</v>
      </c>
      <c r="AQ244" s="28">
        <v>0</v>
      </c>
      <c r="AR244" s="28">
        <v>3.1952683194261381E-3</v>
      </c>
      <c r="AS244" s="28">
        <v>1.7817518177591859E-3</v>
      </c>
      <c r="AT244" s="28">
        <v>3.1735928759108359E-3</v>
      </c>
      <c r="AU244" s="28">
        <v>0</v>
      </c>
      <c r="AV244" s="28">
        <v>0</v>
      </c>
      <c r="AW244" s="28">
        <v>0</v>
      </c>
      <c r="AX244" s="28">
        <v>0</v>
      </c>
      <c r="AY244" s="28">
        <v>0</v>
      </c>
      <c r="AZ244" s="28">
        <v>0</v>
      </c>
      <c r="BA244" s="28">
        <v>0</v>
      </c>
      <c r="BB244" s="28">
        <v>0</v>
      </c>
      <c r="BC244" s="28">
        <v>1.0300747613696858E-3</v>
      </c>
      <c r="BD244" s="28">
        <v>0</v>
      </c>
      <c r="BE244" s="28">
        <v>0</v>
      </c>
      <c r="BF244" s="28">
        <v>1.2825400047634795E-3</v>
      </c>
      <c r="BG244" s="28">
        <v>0</v>
      </c>
      <c r="BH244" s="28">
        <v>0</v>
      </c>
      <c r="BI244" s="28">
        <v>0</v>
      </c>
      <c r="BJ244" s="28">
        <v>0</v>
      </c>
      <c r="BK244" s="28">
        <v>0</v>
      </c>
      <c r="BL244" s="28">
        <v>0</v>
      </c>
      <c r="BM244" s="28">
        <v>0</v>
      </c>
      <c r="BN244" s="28">
        <v>5.2592281227314313E-3</v>
      </c>
      <c r="BO244" s="28">
        <v>1.8123381564625202E-3</v>
      </c>
      <c r="BP244" s="28">
        <v>0</v>
      </c>
      <c r="BQ244" s="28">
        <v>0</v>
      </c>
      <c r="BR244" s="28">
        <v>2.5028165119013613E-3</v>
      </c>
      <c r="BS244" s="28">
        <v>1.523934398818042E-3</v>
      </c>
      <c r="BT244" s="28">
        <v>0</v>
      </c>
      <c r="BU244" s="28">
        <v>0</v>
      </c>
      <c r="BV244" s="28">
        <v>0</v>
      </c>
      <c r="BW244" s="28">
        <v>0</v>
      </c>
      <c r="BX244" s="28">
        <v>0</v>
      </c>
      <c r="BY244" s="28">
        <v>0</v>
      </c>
      <c r="BZ244" s="28">
        <v>2.1998729665037367E-2</v>
      </c>
      <c r="CA244" s="28">
        <v>0</v>
      </c>
      <c r="CB244" s="28">
        <v>1.2301177440235691E-3</v>
      </c>
      <c r="CC244" s="28">
        <v>0</v>
      </c>
      <c r="CD244" s="28">
        <v>0</v>
      </c>
      <c r="CE244" s="28">
        <v>0</v>
      </c>
      <c r="CF244" s="28">
        <v>0</v>
      </c>
      <c r="CG244" s="28">
        <v>0</v>
      </c>
      <c r="CH244" s="28">
        <v>0</v>
      </c>
      <c r="CI244" s="28">
        <v>0</v>
      </c>
      <c r="CJ244" s="28">
        <v>0</v>
      </c>
      <c r="CK244" s="28">
        <v>0</v>
      </c>
      <c r="CL244" s="28">
        <v>0</v>
      </c>
      <c r="CM244" s="28">
        <v>4.7654747480877028E-4</v>
      </c>
      <c r="CN244" s="28">
        <v>0</v>
      </c>
      <c r="CO244" s="28">
        <v>0</v>
      </c>
      <c r="CP244" s="28">
        <v>8.6211663982724846E-5</v>
      </c>
      <c r="CQ244" s="28">
        <v>1.680548423809349E-3</v>
      </c>
      <c r="CR244" s="28">
        <v>0</v>
      </c>
      <c r="CS244" s="28">
        <v>0</v>
      </c>
      <c r="CT244" s="28">
        <v>1.3353439441485821E-3</v>
      </c>
      <c r="CU244" s="28">
        <v>0</v>
      </c>
      <c r="CV244" s="28">
        <v>0</v>
      </c>
      <c r="CW244" s="28">
        <v>0</v>
      </c>
      <c r="CX244" s="28">
        <v>7.6726949649705639E-2</v>
      </c>
    </row>
    <row r="245" spans="1:102" x14ac:dyDescent="0.3">
      <c r="A245" s="3" t="s">
        <v>1019</v>
      </c>
      <c r="B245" s="10">
        <v>1.2899610520580634E-3</v>
      </c>
      <c r="C245" s="10">
        <v>2.4512660398851279E-3</v>
      </c>
      <c r="D245" s="10">
        <v>2.4618597909178697E-3</v>
      </c>
      <c r="E245" s="10">
        <v>9.3991836184375589E-4</v>
      </c>
      <c r="F245" s="10">
        <v>4.3058555886446607E-3</v>
      </c>
      <c r="G245" s="10">
        <v>5.5307317571828378E-3</v>
      </c>
      <c r="H245" s="10">
        <v>4.952410539085109E-3</v>
      </c>
      <c r="I245" s="10">
        <v>2.7566848580419688E-3</v>
      </c>
      <c r="J245" s="10">
        <v>3.8587819460336368E-3</v>
      </c>
      <c r="K245" s="10">
        <v>2.3157657835846646E-3</v>
      </c>
      <c r="L245" s="10">
        <v>3.8844173054928053E-3</v>
      </c>
      <c r="M245" s="10">
        <v>2.3821453384180705E-3</v>
      </c>
      <c r="N245" s="10">
        <v>0.36052417567827477</v>
      </c>
      <c r="O245" s="10">
        <v>1.3476877785146754E-3</v>
      </c>
      <c r="P245" s="10">
        <v>3.4375388394617093E-3</v>
      </c>
      <c r="Q245" s="10">
        <v>1.4349484081830783E-2</v>
      </c>
      <c r="R245" s="10">
        <v>5.1596013218216767E-3</v>
      </c>
      <c r="S245" s="10">
        <v>2.4481171910622945E-3</v>
      </c>
      <c r="T245" s="10">
        <v>1.684733877134465E-3</v>
      </c>
      <c r="U245" s="10">
        <v>2.1369883736282357E-4</v>
      </c>
      <c r="V245" s="10">
        <v>2.1184791279650938E-3</v>
      </c>
      <c r="W245" s="10">
        <v>1.7389951349830275E-3</v>
      </c>
      <c r="X245" s="10">
        <v>7.6285850579069074E-4</v>
      </c>
      <c r="Y245" s="10">
        <v>7.5546695184596268E-3</v>
      </c>
      <c r="Z245" s="10">
        <v>9.3107816395023111E-3</v>
      </c>
      <c r="AA245" s="10">
        <v>1.2805145055895634E-3</v>
      </c>
      <c r="AB245" s="10">
        <v>4.5085746590722191E-3</v>
      </c>
      <c r="AC245" s="10">
        <v>6.0088493191456935E-3</v>
      </c>
      <c r="AD245" s="10">
        <v>5.7951027719522208E-3</v>
      </c>
      <c r="AE245" s="10">
        <v>3.8718479337454623E-3</v>
      </c>
      <c r="AF245" s="10">
        <v>1.1504336523250923E-3</v>
      </c>
      <c r="AG245" s="10">
        <v>1.1429024386942826E-2</v>
      </c>
      <c r="AH245" s="10">
        <v>3.0987274771079069E-3</v>
      </c>
      <c r="AI245" s="10">
        <v>3.7045816047474352E-4</v>
      </c>
      <c r="AJ245" s="10">
        <v>1.3382846046194926E-3</v>
      </c>
      <c r="AK245" s="10">
        <v>1.5118204390905301E-3</v>
      </c>
      <c r="AL245" s="10">
        <v>9.4339640849806731E-3</v>
      </c>
      <c r="AM245" s="10">
        <v>7.6247682714549879E-4</v>
      </c>
      <c r="AN245" s="10">
        <v>2.6263394320802624E-4</v>
      </c>
      <c r="AO245" s="10">
        <v>1.070519252262301E-2</v>
      </c>
      <c r="AP245" s="10">
        <v>1.3061129983614123E-3</v>
      </c>
      <c r="AQ245" s="10">
        <v>4.3931971081623E-3</v>
      </c>
      <c r="AR245" s="10">
        <v>6.0557908046583682E-2</v>
      </c>
      <c r="AS245" s="10">
        <v>2.8581745109756995E-3</v>
      </c>
      <c r="AT245" s="10">
        <v>3.1735928759108359E-3</v>
      </c>
      <c r="AU245" s="10">
        <v>5.9098666009497003E-3</v>
      </c>
      <c r="AV245" s="10">
        <v>3.87302333048236E-3</v>
      </c>
      <c r="AW245" s="10">
        <v>3.2393608774604682E-3</v>
      </c>
      <c r="AX245" s="10">
        <v>5.7960287763925448E-4</v>
      </c>
      <c r="AY245" s="10">
        <v>3.5267822463193109E-3</v>
      </c>
      <c r="AZ245" s="10">
        <v>4.366247559731618E-3</v>
      </c>
      <c r="BA245" s="10">
        <v>6.5266571229511761E-3</v>
      </c>
      <c r="BB245" s="10">
        <v>2.5782392482714168E-3</v>
      </c>
      <c r="BC245" s="10">
        <v>1.0300747613696858E-3</v>
      </c>
      <c r="BD245" s="10">
        <v>1.1804073534303202E-2</v>
      </c>
      <c r="BE245" s="10">
        <v>9.5199892468981334E-3</v>
      </c>
      <c r="BF245" s="10">
        <v>5.8767820020232918E-3</v>
      </c>
      <c r="BG245" s="10">
        <v>1.9257465925438353E-3</v>
      </c>
      <c r="BH245" s="10">
        <v>3.4534305503251543E-3</v>
      </c>
      <c r="BI245" s="10">
        <v>7.0029356878053791E-4</v>
      </c>
      <c r="BJ245" s="10">
        <v>1.5457421286819619E-3</v>
      </c>
      <c r="BK245" s="10">
        <v>2.0495427599346349E-3</v>
      </c>
      <c r="BL245" s="10">
        <v>3.6151907311405548E-4</v>
      </c>
      <c r="BM245" s="10">
        <v>1.8675317077745373E-2</v>
      </c>
      <c r="BN245" s="10">
        <v>9.6401941652182639E-3</v>
      </c>
      <c r="BO245" s="10">
        <v>1.8123381564625202E-3</v>
      </c>
      <c r="BP245" s="10">
        <v>5.527008221763551E-3</v>
      </c>
      <c r="BQ245" s="10">
        <v>3.4599798088960614E-3</v>
      </c>
      <c r="BR245" s="10">
        <v>4.5268887281554333E-3</v>
      </c>
      <c r="BS245" s="10">
        <v>1.8557519337244353E-3</v>
      </c>
      <c r="BT245" s="10">
        <v>2.0145063952089494E-3</v>
      </c>
      <c r="BU245" s="10">
        <v>2.1137406743301826E-3</v>
      </c>
      <c r="BV245" s="10">
        <v>5.3683968897709836E-4</v>
      </c>
      <c r="BW245" s="10">
        <v>7.5971616285385498E-4</v>
      </c>
      <c r="BX245" s="10">
        <v>9.8303286834978184E-4</v>
      </c>
      <c r="BY245" s="10">
        <v>1.2344786394077533E-2</v>
      </c>
      <c r="BZ245" s="10">
        <v>0.21292365670895347</v>
      </c>
      <c r="CA245" s="10">
        <v>8.9767781269007284E-4</v>
      </c>
      <c r="CB245" s="10">
        <v>3.3505182769866175E-3</v>
      </c>
      <c r="CC245" s="10">
        <v>9.0225361917504413E-4</v>
      </c>
      <c r="CD245" s="10">
        <v>1.1159698055671946E-3</v>
      </c>
      <c r="CE245" s="10">
        <v>3.9139974004951793E-3</v>
      </c>
      <c r="CF245" s="10">
        <v>9.2166718299185131E-5</v>
      </c>
      <c r="CG245" s="10">
        <v>1.453811790907356E-3</v>
      </c>
      <c r="CH245" s="10">
        <v>3.0795177643856909E-4</v>
      </c>
      <c r="CI245" s="10">
        <v>5.6223368006575649E-3</v>
      </c>
      <c r="CJ245" s="10">
        <v>8.8524506454867923E-4</v>
      </c>
      <c r="CK245" s="10">
        <v>1.2549290245897095E-3</v>
      </c>
      <c r="CL245" s="10">
        <v>6.5056647974656209E-3</v>
      </c>
      <c r="CM245" s="10">
        <v>1.5313623857243564E-2</v>
      </c>
      <c r="CN245" s="10">
        <v>3.4822624684378053E-3</v>
      </c>
      <c r="CO245" s="10">
        <v>4.9501768515592694E-4</v>
      </c>
      <c r="CP245" s="10">
        <v>8.6211663982724846E-5</v>
      </c>
      <c r="CQ245" s="10">
        <v>1.680548423809349E-3</v>
      </c>
      <c r="CR245" s="10">
        <v>7.8655012337664615E-3</v>
      </c>
      <c r="CS245" s="10">
        <v>1.5648824452868704E-5</v>
      </c>
      <c r="CT245" s="10">
        <v>1.3353439441485821E-3</v>
      </c>
      <c r="CU245" s="10">
        <v>1.1975241226271117E-2</v>
      </c>
      <c r="CV245" s="10">
        <v>2.4569673646476823E-3</v>
      </c>
      <c r="CW245" s="10">
        <v>1.3528686323974225E-3</v>
      </c>
      <c r="CX245" s="10">
        <v>1</v>
      </c>
    </row>
    <row r="250" spans="1:102" x14ac:dyDescent="0.3">
      <c r="J250" s="2" t="s">
        <v>1008</v>
      </c>
      <c r="K250" t="s">
        <v>1024</v>
      </c>
      <c r="L250" t="s">
        <v>1042</v>
      </c>
      <c r="M250" t="str">
        <f>J250</f>
        <v>Oppurtunity.Opportunity Size</v>
      </c>
      <c r="N250" t="str">
        <f>K250</f>
        <v>Count of Opportunity ID</v>
      </c>
      <c r="O250" t="s">
        <v>1043</v>
      </c>
    </row>
    <row r="251" spans="1:102" x14ac:dyDescent="0.3">
      <c r="J251" t="s">
        <v>9</v>
      </c>
      <c r="K251" s="15">
        <v>0.33333333333333331</v>
      </c>
      <c r="L251" s="28">
        <v>162</v>
      </c>
      <c r="M251" t="str">
        <f>J251</f>
        <v>Large</v>
      </c>
      <c r="N251" s="25">
        <f>GETPIVOTDATA("Count of Opportunity ID",$J$250,"Oppurtunity.Opportunity Size","Large")</f>
        <v>0.33333333333333331</v>
      </c>
      <c r="O251" s="16">
        <f>1-N251</f>
        <v>0.66666666666666674</v>
      </c>
      <c r="P251">
        <f>GETPIVOTDATA("Count of Opportunity ID2",$J$250,"Oppurtunity.Opportunity Size","Large")</f>
        <v>162</v>
      </c>
    </row>
    <row r="252" spans="1:102" ht="14.4" customHeight="1" x14ac:dyDescent="0.3">
      <c r="A252" s="26" t="s">
        <v>1032</v>
      </c>
      <c r="B252" s="26"/>
      <c r="J252" t="s">
        <v>143</v>
      </c>
      <c r="K252" s="15">
        <v>0.33127572016460904</v>
      </c>
      <c r="L252" s="28">
        <v>161</v>
      </c>
    </row>
    <row r="253" spans="1:102" ht="14.4" customHeight="1" x14ac:dyDescent="0.3">
      <c r="A253" s="26"/>
      <c r="B253" s="26"/>
      <c r="J253" t="s">
        <v>138</v>
      </c>
      <c r="K253" s="15">
        <v>0.33539094650205764</v>
      </c>
      <c r="L253" s="28">
        <v>163</v>
      </c>
      <c r="M253" t="str">
        <f>J250</f>
        <v>Oppurtunity.Opportunity Size</v>
      </c>
      <c r="N253" t="str">
        <f>K250</f>
        <v>Count of Opportunity ID</v>
      </c>
      <c r="O253" t="s">
        <v>1043</v>
      </c>
    </row>
    <row r="254" spans="1:102" x14ac:dyDescent="0.3">
      <c r="M254" t="str">
        <f>J252</f>
        <v>Medium</v>
      </c>
      <c r="N254" s="24">
        <f>GETPIVOTDATA("Count of Opportunity ID",$J$250,"Oppurtunity.Opportunity Size","Medium")</f>
        <v>0.33127572016460904</v>
      </c>
      <c r="O254" s="10">
        <f>1-N254</f>
        <v>0.66872427983539096</v>
      </c>
      <c r="P254">
        <f>GETPIVOTDATA("Count of Opportunity ID2",$J$250,"Oppurtunity.Opportunity Size","Medium")</f>
        <v>161</v>
      </c>
    </row>
    <row r="256" spans="1:102" x14ac:dyDescent="0.3">
      <c r="A256" s="2" t="s">
        <v>1018</v>
      </c>
      <c r="B256" t="s">
        <v>1024</v>
      </c>
      <c r="M256" t="str">
        <f>J250</f>
        <v>Oppurtunity.Opportunity Size</v>
      </c>
      <c r="N256" t="str">
        <f>K250</f>
        <v>Count of Opportunity ID</v>
      </c>
      <c r="O256" t="s">
        <v>1043</v>
      </c>
    </row>
    <row r="257" spans="1:16" x14ac:dyDescent="0.3">
      <c r="A257" s="3" t="s">
        <v>9</v>
      </c>
      <c r="B257" s="28">
        <v>162</v>
      </c>
      <c r="M257" t="str">
        <f>J253</f>
        <v>Small</v>
      </c>
      <c r="N257" s="24">
        <f>GETPIVOTDATA("Count of Opportunity ID",$J$250,"Oppurtunity.Opportunity Size","Small")</f>
        <v>0.33539094650205764</v>
      </c>
      <c r="O257" s="10">
        <f>1-N257</f>
        <v>0.6646090534979423</v>
      </c>
      <c r="P257">
        <f>GETPIVOTDATA("Count of Opportunity ID2",$J$250,"Oppurtunity.Opportunity Size","Small")</f>
        <v>163</v>
      </c>
    </row>
    <row r="258" spans="1:16" x14ac:dyDescent="0.3">
      <c r="A258" s="3" t="s">
        <v>143</v>
      </c>
      <c r="B258" s="28">
        <v>161</v>
      </c>
    </row>
    <row r="259" spans="1:16" x14ac:dyDescent="0.3">
      <c r="A259" s="3" t="s">
        <v>138</v>
      </c>
      <c r="B259" s="28">
        <v>163</v>
      </c>
    </row>
    <row r="260" spans="1:16" x14ac:dyDescent="0.3">
      <c r="A260" s="3" t="s">
        <v>1019</v>
      </c>
      <c r="B260" s="28">
        <v>486</v>
      </c>
    </row>
    <row r="264" spans="1:16" x14ac:dyDescent="0.3">
      <c r="A264" s="26" t="s">
        <v>1033</v>
      </c>
      <c r="B264" s="26"/>
    </row>
    <row r="265" spans="1:16" x14ac:dyDescent="0.3">
      <c r="A265" s="26"/>
      <c r="B265" s="26"/>
    </row>
    <row r="268" spans="1:16" x14ac:dyDescent="0.3">
      <c r="A268" s="2" t="s">
        <v>1058</v>
      </c>
      <c r="B268" t="s">
        <v>1059</v>
      </c>
      <c r="D268" t="str">
        <f t="shared" ref="D268:E273" si="7">A268</f>
        <v>Sales Stage</v>
      </c>
      <c r="E268" t="str">
        <f t="shared" si="7"/>
        <v>Opportunities</v>
      </c>
    </row>
    <row r="269" spans="1:16" x14ac:dyDescent="0.3">
      <c r="A269" t="s">
        <v>199</v>
      </c>
      <c r="B269" s="28">
        <v>14</v>
      </c>
      <c r="D269" t="str">
        <f t="shared" si="7"/>
        <v>Finalize</v>
      </c>
      <c r="E269">
        <f t="shared" si="7"/>
        <v>14</v>
      </c>
    </row>
    <row r="270" spans="1:16" x14ac:dyDescent="0.3">
      <c r="A270" t="s">
        <v>195</v>
      </c>
      <c r="B270" s="28">
        <v>267</v>
      </c>
      <c r="D270" t="str">
        <f t="shared" si="7"/>
        <v>Lead</v>
      </c>
      <c r="E270">
        <f t="shared" si="7"/>
        <v>267</v>
      </c>
    </row>
    <row r="271" spans="1:16" x14ac:dyDescent="0.3">
      <c r="A271" t="s">
        <v>198</v>
      </c>
      <c r="B271" s="28">
        <v>37</v>
      </c>
      <c r="D271" t="str">
        <f t="shared" si="7"/>
        <v>Proposal</v>
      </c>
      <c r="E271">
        <f t="shared" si="7"/>
        <v>37</v>
      </c>
    </row>
    <row r="272" spans="1:16" x14ac:dyDescent="0.3">
      <c r="A272" t="s">
        <v>196</v>
      </c>
      <c r="B272" s="28">
        <v>94</v>
      </c>
      <c r="D272" t="str">
        <f t="shared" si="7"/>
        <v>Qualify</v>
      </c>
      <c r="E272">
        <f t="shared" si="7"/>
        <v>94</v>
      </c>
    </row>
    <row r="273" spans="1:11" x14ac:dyDescent="0.3">
      <c r="A273" t="s">
        <v>197</v>
      </c>
      <c r="B273" s="28">
        <v>74</v>
      </c>
      <c r="D273" t="str">
        <f t="shared" si="7"/>
        <v>Solution</v>
      </c>
      <c r="E273">
        <f t="shared" si="7"/>
        <v>74</v>
      </c>
    </row>
    <row r="277" spans="1:11" x14ac:dyDescent="0.3">
      <c r="K277" s="8" t="s">
        <v>1034</v>
      </c>
    </row>
    <row r="279" spans="1:11" x14ac:dyDescent="0.3">
      <c r="A279" s="2" t="s">
        <v>1018</v>
      </c>
      <c r="B279" t="s">
        <v>1023</v>
      </c>
    </row>
    <row r="280" spans="1:11" x14ac:dyDescent="0.3">
      <c r="A280" s="3" t="s">
        <v>199</v>
      </c>
      <c r="B280" s="28">
        <v>60139889</v>
      </c>
    </row>
    <row r="281" spans="1:11" x14ac:dyDescent="0.3">
      <c r="A281" s="3" t="s">
        <v>195</v>
      </c>
      <c r="B281" s="28">
        <v>123566896</v>
      </c>
    </row>
    <row r="282" spans="1:11" x14ac:dyDescent="0.3">
      <c r="A282" s="3" t="s">
        <v>198</v>
      </c>
      <c r="B282" s="28">
        <v>89835877</v>
      </c>
    </row>
    <row r="283" spans="1:11" x14ac:dyDescent="0.3">
      <c r="A283" s="3" t="s">
        <v>196</v>
      </c>
      <c r="B283" s="28">
        <v>71969997</v>
      </c>
    </row>
    <row r="284" spans="1:11" x14ac:dyDescent="0.3">
      <c r="A284" s="3" t="s">
        <v>197</v>
      </c>
      <c r="B284" s="28">
        <v>115608240</v>
      </c>
    </row>
    <row r="285" spans="1:11" x14ac:dyDescent="0.3">
      <c r="A285" s="3" t="s">
        <v>1019</v>
      </c>
      <c r="B285" s="28">
        <v>461120899</v>
      </c>
    </row>
    <row r="291" spans="1:8" x14ac:dyDescent="0.3">
      <c r="A291" s="2" t="s">
        <v>1018</v>
      </c>
      <c r="B291" t="s">
        <v>1024</v>
      </c>
      <c r="G291" t="s">
        <v>1036</v>
      </c>
      <c r="H291" t="s">
        <v>1035</v>
      </c>
    </row>
    <row r="292" spans="1:8" x14ac:dyDescent="0.3">
      <c r="A292" s="3" t="s">
        <v>199</v>
      </c>
      <c r="B292" s="28">
        <v>14</v>
      </c>
      <c r="G292" t="s">
        <v>199</v>
      </c>
      <c r="H292" t="str">
        <f>IFERROR(INDEX($B$291:$B$296,MATCH(A292,$A$291:$A$296,0))/INDEX($B$291:$B$296,MATCH(A291,$A$291:$A$296,0)), "")</f>
        <v/>
      </c>
    </row>
    <row r="293" spans="1:8" x14ac:dyDescent="0.3">
      <c r="A293" s="3" t="s">
        <v>195</v>
      </c>
      <c r="B293" s="28">
        <v>267</v>
      </c>
      <c r="G293" t="s">
        <v>195</v>
      </c>
      <c r="H293">
        <f>IFERROR(INDEX($B$291:$B$296,MATCH(A293,$A$291:$A$296,0))/INDEX($B$291:$B$296,MATCH(A292,$A$291:$A$296,0)), "")</f>
        <v>19.071428571428573</v>
      </c>
    </row>
    <row r="294" spans="1:8" x14ac:dyDescent="0.3">
      <c r="A294" s="3" t="s">
        <v>198</v>
      </c>
      <c r="B294" s="28">
        <v>37</v>
      </c>
      <c r="G294" t="s">
        <v>198</v>
      </c>
      <c r="H294">
        <f>IFERROR(INDEX($B$291:$B$296,MATCH(A294,$A$291:$A$296,0))/INDEX($B$291:$B$296,MATCH(A293,$A$291:$A$296,0)), "")</f>
        <v>0.13857677902621723</v>
      </c>
    </row>
    <row r="295" spans="1:8" x14ac:dyDescent="0.3">
      <c r="A295" s="3" t="s">
        <v>196</v>
      </c>
      <c r="B295" s="28">
        <v>94</v>
      </c>
      <c r="G295" t="s">
        <v>196</v>
      </c>
      <c r="H295">
        <f>IFERROR(INDEX($B$291:$B$296,MATCH(A295,$A$291:$A$296,0))/INDEX($B$291:$B$296,MATCH(A294,$A$291:$A$296,0)), "")</f>
        <v>2.5405405405405403</v>
      </c>
    </row>
    <row r="296" spans="1:8" x14ac:dyDescent="0.3">
      <c r="A296" s="3" t="s">
        <v>197</v>
      </c>
      <c r="B296" s="28">
        <v>74</v>
      </c>
      <c r="G296" t="s">
        <v>197</v>
      </c>
      <c r="H296">
        <f>IFERROR(INDEX($B$291:$B$296,MATCH(A296,$A$291:$A$296,0))/INDEX($B$291:$B$296,MATCH(A295,$A$291:$A$296,0)), "")</f>
        <v>0.78723404255319152</v>
      </c>
    </row>
    <row r="297" spans="1:8" x14ac:dyDescent="0.3">
      <c r="A297" s="3" t="s">
        <v>1019</v>
      </c>
      <c r="B297" s="28">
        <v>486</v>
      </c>
    </row>
    <row r="303" spans="1:8" ht="23.4" x14ac:dyDescent="0.45">
      <c r="B303" s="9" t="s">
        <v>1038</v>
      </c>
    </row>
    <row r="307" spans="1:2" x14ac:dyDescent="0.3">
      <c r="A307" s="2" t="s">
        <v>1018</v>
      </c>
      <c r="B307" t="s">
        <v>1037</v>
      </c>
    </row>
    <row r="308" spans="1:2" x14ac:dyDescent="0.3">
      <c r="A308" s="3">
        <v>2015</v>
      </c>
      <c r="B308" s="28">
        <v>455.4732510288066</v>
      </c>
    </row>
    <row r="309" spans="1:2" x14ac:dyDescent="0.3">
      <c r="A309" s="4" t="s">
        <v>511</v>
      </c>
      <c r="B309" s="28">
        <v>375.67741935483872</v>
      </c>
    </row>
    <row r="310" spans="1:2" x14ac:dyDescent="0.3">
      <c r="A310" s="4" t="s">
        <v>509</v>
      </c>
      <c r="B310" s="28">
        <v>390.03225806451616</v>
      </c>
    </row>
    <row r="311" spans="1:2" x14ac:dyDescent="0.3">
      <c r="A311" s="4" t="s">
        <v>512</v>
      </c>
      <c r="B311" s="28">
        <v>403.84090909090907</v>
      </c>
    </row>
    <row r="312" spans="1:2" x14ac:dyDescent="0.3">
      <c r="A312" s="4" t="s">
        <v>510</v>
      </c>
      <c r="B312" s="28">
        <v>423.5</v>
      </c>
    </row>
    <row r="313" spans="1:2" x14ac:dyDescent="0.3">
      <c r="A313" s="4" t="s">
        <v>68</v>
      </c>
      <c r="B313" s="28">
        <v>436.60344827586209</v>
      </c>
    </row>
    <row r="314" spans="1:2" x14ac:dyDescent="0.3">
      <c r="A314" s="4" t="s">
        <v>70</v>
      </c>
      <c r="B314" s="28">
        <v>449.37349397590361</v>
      </c>
    </row>
    <row r="315" spans="1:2" x14ac:dyDescent="0.3">
      <c r="A315" s="4" t="s">
        <v>69</v>
      </c>
      <c r="B315" s="28">
        <v>481.05882352941177</v>
      </c>
    </row>
    <row r="316" spans="1:2" x14ac:dyDescent="0.3">
      <c r="A316" s="4" t="s">
        <v>513</v>
      </c>
      <c r="B316" s="28">
        <v>471.63636363636363</v>
      </c>
    </row>
    <row r="317" spans="1:2" x14ac:dyDescent="0.3">
      <c r="A317" s="4" t="s">
        <v>507</v>
      </c>
      <c r="B317" s="28">
        <v>515.54166666666663</v>
      </c>
    </row>
    <row r="318" spans="1:2" x14ac:dyDescent="0.3">
      <c r="A318" s="4" t="s">
        <v>505</v>
      </c>
      <c r="B318" s="28">
        <v>477.72727272727275</v>
      </c>
    </row>
    <row r="319" spans="1:2" x14ac:dyDescent="0.3">
      <c r="A319" s="4" t="s">
        <v>506</v>
      </c>
      <c r="B319" s="28">
        <v>526.04166666666663</v>
      </c>
    </row>
    <row r="320" spans="1:2" x14ac:dyDescent="0.3">
      <c r="A320" s="4" t="s">
        <v>508</v>
      </c>
      <c r="B320" s="28">
        <v>526.94202898550725</v>
      </c>
    </row>
    <row r="321" spans="1:14" x14ac:dyDescent="0.3">
      <c r="A321" s="3" t="s">
        <v>1019</v>
      </c>
      <c r="B321" s="28">
        <v>455.4732510288066</v>
      </c>
    </row>
    <row r="328" spans="1:14" x14ac:dyDescent="0.3">
      <c r="A328" s="2" t="s">
        <v>1039</v>
      </c>
      <c r="B328" s="2" t="s">
        <v>1022</v>
      </c>
    </row>
    <row r="329" spans="1:14" x14ac:dyDescent="0.3">
      <c r="A329" s="2" t="s">
        <v>1018</v>
      </c>
      <c r="B329" t="s">
        <v>511</v>
      </c>
      <c r="C329" t="s">
        <v>509</v>
      </c>
      <c r="D329" t="s">
        <v>512</v>
      </c>
      <c r="E329" t="s">
        <v>510</v>
      </c>
      <c r="F329" t="s">
        <v>68</v>
      </c>
      <c r="G329" t="s">
        <v>70</v>
      </c>
      <c r="H329" t="s">
        <v>69</v>
      </c>
      <c r="I329" t="s">
        <v>513</v>
      </c>
      <c r="J329" t="s">
        <v>507</v>
      </c>
      <c r="K329" t="s">
        <v>505</v>
      </c>
      <c r="L329" t="s">
        <v>506</v>
      </c>
      <c r="M329" t="s">
        <v>508</v>
      </c>
      <c r="N329" t="s">
        <v>1019</v>
      </c>
    </row>
    <row r="330" spans="1:14" x14ac:dyDescent="0.3">
      <c r="A330" s="3">
        <v>0.1</v>
      </c>
      <c r="B330" s="28"/>
      <c r="C330" s="28">
        <v>3</v>
      </c>
      <c r="D330" s="28">
        <v>9</v>
      </c>
      <c r="E330" s="28">
        <v>14</v>
      </c>
      <c r="F330" s="28">
        <v>29</v>
      </c>
      <c r="G330" s="28">
        <v>45</v>
      </c>
      <c r="H330" s="28">
        <v>22</v>
      </c>
      <c r="I330" s="28">
        <v>15</v>
      </c>
      <c r="J330" s="28">
        <v>17</v>
      </c>
      <c r="K330" s="28">
        <v>20</v>
      </c>
      <c r="L330" s="28">
        <v>24</v>
      </c>
      <c r="M330" s="28">
        <v>69</v>
      </c>
      <c r="N330" s="28">
        <v>267</v>
      </c>
    </row>
    <row r="331" spans="1:14" x14ac:dyDescent="0.3">
      <c r="A331" s="4" t="s">
        <v>195</v>
      </c>
      <c r="B331" s="28"/>
      <c r="C331" s="28">
        <v>3</v>
      </c>
      <c r="D331" s="28">
        <v>9</v>
      </c>
      <c r="E331" s="28">
        <v>14</v>
      </c>
      <c r="F331" s="28">
        <v>29</v>
      </c>
      <c r="G331" s="28">
        <v>45</v>
      </c>
      <c r="H331" s="28">
        <v>22</v>
      </c>
      <c r="I331" s="28">
        <v>15</v>
      </c>
      <c r="J331" s="28">
        <v>17</v>
      </c>
      <c r="K331" s="28">
        <v>20</v>
      </c>
      <c r="L331" s="28">
        <v>24</v>
      </c>
      <c r="M331" s="28">
        <v>69</v>
      </c>
      <c r="N331" s="28">
        <v>267</v>
      </c>
    </row>
    <row r="332" spans="1:14" x14ac:dyDescent="0.3">
      <c r="A332" s="3">
        <v>0.2</v>
      </c>
      <c r="B332" s="28"/>
      <c r="C332" s="28">
        <v>2</v>
      </c>
      <c r="D332" s="28">
        <v>10</v>
      </c>
      <c r="E332" s="28">
        <v>16</v>
      </c>
      <c r="F332" s="28">
        <v>15</v>
      </c>
      <c r="G332" s="28">
        <v>29</v>
      </c>
      <c r="H332" s="28">
        <v>8</v>
      </c>
      <c r="I332" s="28">
        <v>7</v>
      </c>
      <c r="J332" s="28">
        <v>5</v>
      </c>
      <c r="K332" s="28">
        <v>2</v>
      </c>
      <c r="L332" s="28"/>
      <c r="M332" s="28"/>
      <c r="N332" s="28">
        <v>94</v>
      </c>
    </row>
    <row r="333" spans="1:14" x14ac:dyDescent="0.3">
      <c r="A333" s="4" t="s">
        <v>196</v>
      </c>
      <c r="B333" s="28"/>
      <c r="C333" s="28">
        <v>2</v>
      </c>
      <c r="D333" s="28">
        <v>10</v>
      </c>
      <c r="E333" s="28">
        <v>16</v>
      </c>
      <c r="F333" s="28">
        <v>15</v>
      </c>
      <c r="G333" s="28">
        <v>29</v>
      </c>
      <c r="H333" s="28">
        <v>8</v>
      </c>
      <c r="I333" s="28">
        <v>7</v>
      </c>
      <c r="J333" s="28">
        <v>5</v>
      </c>
      <c r="K333" s="28">
        <v>2</v>
      </c>
      <c r="L333" s="28"/>
      <c r="M333" s="28"/>
      <c r="N333" s="28">
        <v>94</v>
      </c>
    </row>
    <row r="334" spans="1:14" x14ac:dyDescent="0.3">
      <c r="A334" s="3">
        <v>0.4</v>
      </c>
      <c r="B334" s="28">
        <v>5</v>
      </c>
      <c r="C334" s="28">
        <v>14</v>
      </c>
      <c r="D334" s="28">
        <v>18</v>
      </c>
      <c r="E334" s="28">
        <v>10</v>
      </c>
      <c r="F334" s="28">
        <v>12</v>
      </c>
      <c r="G334" s="28">
        <v>9</v>
      </c>
      <c r="H334" s="28">
        <v>4</v>
      </c>
      <c r="I334" s="28"/>
      <c r="J334" s="28">
        <v>2</v>
      </c>
      <c r="K334" s="28"/>
      <c r="L334" s="28"/>
      <c r="M334" s="28"/>
      <c r="N334" s="28">
        <v>74</v>
      </c>
    </row>
    <row r="335" spans="1:14" x14ac:dyDescent="0.3">
      <c r="A335" s="4" t="s">
        <v>197</v>
      </c>
      <c r="B335" s="28">
        <v>5</v>
      </c>
      <c r="C335" s="28">
        <v>14</v>
      </c>
      <c r="D335" s="28">
        <v>18</v>
      </c>
      <c r="E335" s="28">
        <v>10</v>
      </c>
      <c r="F335" s="28">
        <v>12</v>
      </c>
      <c r="G335" s="28">
        <v>9</v>
      </c>
      <c r="H335" s="28">
        <v>4</v>
      </c>
      <c r="I335" s="28"/>
      <c r="J335" s="28">
        <v>2</v>
      </c>
      <c r="K335" s="28"/>
      <c r="L335" s="28"/>
      <c r="M335" s="28"/>
      <c r="N335" s="28">
        <v>74</v>
      </c>
    </row>
    <row r="336" spans="1:14" x14ac:dyDescent="0.3">
      <c r="A336" s="3">
        <v>0.6</v>
      </c>
      <c r="B336" s="28">
        <v>15</v>
      </c>
      <c r="C336" s="28">
        <v>9</v>
      </c>
      <c r="D336" s="28">
        <v>7</v>
      </c>
      <c r="E336" s="28">
        <v>4</v>
      </c>
      <c r="F336" s="28">
        <v>2</v>
      </c>
      <c r="G336" s="28"/>
      <c r="H336" s="28"/>
      <c r="I336" s="28"/>
      <c r="J336" s="28"/>
      <c r="K336" s="28"/>
      <c r="L336" s="28"/>
      <c r="M336" s="28"/>
      <c r="N336" s="28">
        <v>37</v>
      </c>
    </row>
    <row r="337" spans="1:14" x14ac:dyDescent="0.3">
      <c r="A337" s="4" t="s">
        <v>198</v>
      </c>
      <c r="B337" s="28">
        <v>15</v>
      </c>
      <c r="C337" s="28">
        <v>9</v>
      </c>
      <c r="D337" s="28">
        <v>7</v>
      </c>
      <c r="E337" s="28">
        <v>4</v>
      </c>
      <c r="F337" s="28">
        <v>2</v>
      </c>
      <c r="G337" s="28"/>
      <c r="H337" s="28"/>
      <c r="I337" s="28"/>
      <c r="J337" s="28"/>
      <c r="K337" s="28"/>
      <c r="L337" s="28"/>
      <c r="M337" s="28"/>
      <c r="N337" s="28">
        <v>37</v>
      </c>
    </row>
    <row r="338" spans="1:14" x14ac:dyDescent="0.3">
      <c r="A338" s="3">
        <v>0.8</v>
      </c>
      <c r="B338" s="28">
        <v>11</v>
      </c>
      <c r="C338" s="28">
        <v>3</v>
      </c>
      <c r="D338" s="28"/>
      <c r="E338" s="28"/>
      <c r="F338" s="28"/>
      <c r="G338" s="28"/>
      <c r="H338" s="28"/>
      <c r="I338" s="28"/>
      <c r="J338" s="28"/>
      <c r="K338" s="28"/>
      <c r="L338" s="28"/>
      <c r="M338" s="28"/>
      <c r="N338" s="28">
        <v>14</v>
      </c>
    </row>
    <row r="339" spans="1:14" x14ac:dyDescent="0.3">
      <c r="A339" s="4" t="s">
        <v>199</v>
      </c>
      <c r="B339" s="28">
        <v>11</v>
      </c>
      <c r="C339" s="28">
        <v>3</v>
      </c>
      <c r="D339" s="28"/>
      <c r="E339" s="28"/>
      <c r="F339" s="28"/>
      <c r="G339" s="28"/>
      <c r="H339" s="28"/>
      <c r="I339" s="28"/>
      <c r="J339" s="28"/>
      <c r="K339" s="28"/>
      <c r="L339" s="28"/>
      <c r="M339" s="28"/>
      <c r="N339" s="28">
        <v>14</v>
      </c>
    </row>
    <row r="340" spans="1:14" x14ac:dyDescent="0.3">
      <c r="A340" s="3" t="s">
        <v>1019</v>
      </c>
      <c r="B340" s="28">
        <v>31</v>
      </c>
      <c r="C340" s="28">
        <v>31</v>
      </c>
      <c r="D340" s="28">
        <v>44</v>
      </c>
      <c r="E340" s="28">
        <v>44</v>
      </c>
      <c r="F340" s="28">
        <v>58</v>
      </c>
      <c r="G340" s="28">
        <v>83</v>
      </c>
      <c r="H340" s="28">
        <v>34</v>
      </c>
      <c r="I340" s="28">
        <v>22</v>
      </c>
      <c r="J340" s="28">
        <v>24</v>
      </c>
      <c r="K340" s="28">
        <v>22</v>
      </c>
      <c r="L340" s="28">
        <v>24</v>
      </c>
      <c r="M340" s="28">
        <v>69</v>
      </c>
      <c r="N340" s="28">
        <v>486</v>
      </c>
    </row>
    <row r="346" spans="1:14" x14ac:dyDescent="0.3">
      <c r="A346" t="s">
        <v>1041</v>
      </c>
      <c r="B346" t="s">
        <v>1052</v>
      </c>
      <c r="C346" t="s">
        <v>1051</v>
      </c>
      <c r="D346" t="s">
        <v>1053</v>
      </c>
      <c r="E346" t="s">
        <v>1054</v>
      </c>
      <c r="F346" s="2" t="s">
        <v>1010</v>
      </c>
      <c r="G346" s="2" t="s">
        <v>1011</v>
      </c>
    </row>
    <row r="347" spans="1:14" x14ac:dyDescent="0.3">
      <c r="A347" s="28">
        <v>461120899</v>
      </c>
      <c r="B347" s="21">
        <v>948808.43415637861</v>
      </c>
      <c r="C347" s="28">
        <v>486</v>
      </c>
      <c r="D347">
        <f>COUNTA(F347:F377)</f>
        <v>25</v>
      </c>
      <c r="E347">
        <f>COUNTA(G347:G449)</f>
        <v>100</v>
      </c>
      <c r="F347" t="s">
        <v>170</v>
      </c>
      <c r="G347" t="s">
        <v>71</v>
      </c>
    </row>
    <row r="348" spans="1:14" x14ac:dyDescent="0.3">
      <c r="A348">
        <f>GETPIVOTDATA("Revenue",$A$346)</f>
        <v>461120899</v>
      </c>
      <c r="B348" s="22">
        <f>GETPIVOTDATA("Average",$A$346)</f>
        <v>948808.43415637861</v>
      </c>
      <c r="C348">
        <f>GETPIVOTDATA("Transaction",$A$346)</f>
        <v>486</v>
      </c>
      <c r="F348" t="s">
        <v>191</v>
      </c>
      <c r="G348" t="s">
        <v>73</v>
      </c>
    </row>
    <row r="349" spans="1:14" x14ac:dyDescent="0.3">
      <c r="F349" t="s">
        <v>171</v>
      </c>
      <c r="G349" t="s">
        <v>74</v>
      </c>
    </row>
    <row r="350" spans="1:14" x14ac:dyDescent="0.3">
      <c r="F350" t="s">
        <v>192</v>
      </c>
      <c r="G350" t="s">
        <v>75</v>
      </c>
    </row>
    <row r="351" spans="1:14" x14ac:dyDescent="0.3">
      <c r="F351" t="s">
        <v>172</v>
      </c>
      <c r="G351" t="s">
        <v>76</v>
      </c>
    </row>
    <row r="352" spans="1:14" x14ac:dyDescent="0.3">
      <c r="F352" t="s">
        <v>193</v>
      </c>
      <c r="G352" t="s">
        <v>77</v>
      </c>
    </row>
    <row r="353" spans="6:7" x14ac:dyDescent="0.3">
      <c r="F353" t="s">
        <v>173</v>
      </c>
      <c r="G353" t="s">
        <v>78</v>
      </c>
    </row>
    <row r="354" spans="6:7" x14ac:dyDescent="0.3">
      <c r="F354" t="s">
        <v>174</v>
      </c>
      <c r="G354" t="s">
        <v>79</v>
      </c>
    </row>
    <row r="355" spans="6:7" x14ac:dyDescent="0.3">
      <c r="F355" t="s">
        <v>175</v>
      </c>
      <c r="G355" t="s">
        <v>80</v>
      </c>
    </row>
    <row r="356" spans="6:7" x14ac:dyDescent="0.3">
      <c r="F356" t="s">
        <v>176</v>
      </c>
      <c r="G356" t="s">
        <v>81</v>
      </c>
    </row>
    <row r="357" spans="6:7" x14ac:dyDescent="0.3">
      <c r="F357" t="s">
        <v>177</v>
      </c>
      <c r="G357" t="s">
        <v>82</v>
      </c>
    </row>
    <row r="358" spans="6:7" x14ac:dyDescent="0.3">
      <c r="F358" t="s">
        <v>178</v>
      </c>
      <c r="G358" t="s">
        <v>83</v>
      </c>
    </row>
    <row r="359" spans="6:7" x14ac:dyDescent="0.3">
      <c r="F359" t="s">
        <v>179</v>
      </c>
      <c r="G359" t="s">
        <v>84</v>
      </c>
    </row>
    <row r="360" spans="6:7" x14ac:dyDescent="0.3">
      <c r="F360" t="s">
        <v>180</v>
      </c>
      <c r="G360" t="s">
        <v>86</v>
      </c>
    </row>
    <row r="361" spans="6:7" x14ac:dyDescent="0.3">
      <c r="F361" t="s">
        <v>181</v>
      </c>
      <c r="G361" t="s">
        <v>87</v>
      </c>
    </row>
    <row r="362" spans="6:7" x14ac:dyDescent="0.3">
      <c r="F362" t="s">
        <v>194</v>
      </c>
      <c r="G362" t="s">
        <v>88</v>
      </c>
    </row>
    <row r="363" spans="6:7" x14ac:dyDescent="0.3">
      <c r="F363" t="s">
        <v>182</v>
      </c>
      <c r="G363" t="s">
        <v>89</v>
      </c>
    </row>
    <row r="364" spans="6:7" x14ac:dyDescent="0.3">
      <c r="F364" t="s">
        <v>183</v>
      </c>
      <c r="G364" t="s">
        <v>90</v>
      </c>
    </row>
    <row r="365" spans="6:7" x14ac:dyDescent="0.3">
      <c r="F365" t="s">
        <v>184</v>
      </c>
      <c r="G365" t="s">
        <v>91</v>
      </c>
    </row>
    <row r="366" spans="6:7" x14ac:dyDescent="0.3">
      <c r="F366" t="s">
        <v>185</v>
      </c>
      <c r="G366" t="s">
        <v>92</v>
      </c>
    </row>
    <row r="367" spans="6:7" x14ac:dyDescent="0.3">
      <c r="F367" t="s">
        <v>186</v>
      </c>
      <c r="G367" t="s">
        <v>93</v>
      </c>
    </row>
    <row r="368" spans="6:7" x14ac:dyDescent="0.3">
      <c r="F368" t="s">
        <v>187</v>
      </c>
      <c r="G368" t="s">
        <v>94</v>
      </c>
    </row>
    <row r="369" spans="6:7" x14ac:dyDescent="0.3">
      <c r="F369" t="s">
        <v>188</v>
      </c>
      <c r="G369" t="s">
        <v>95</v>
      </c>
    </row>
    <row r="370" spans="6:7" x14ac:dyDescent="0.3">
      <c r="F370" t="s">
        <v>189</v>
      </c>
      <c r="G370" t="s">
        <v>96</v>
      </c>
    </row>
    <row r="371" spans="6:7" x14ac:dyDescent="0.3">
      <c r="F371" t="s">
        <v>190</v>
      </c>
      <c r="G371" t="s">
        <v>97</v>
      </c>
    </row>
    <row r="372" spans="6:7" x14ac:dyDescent="0.3">
      <c r="G372" t="s">
        <v>98</v>
      </c>
    </row>
    <row r="373" spans="6:7" x14ac:dyDescent="0.3">
      <c r="G373" t="s">
        <v>99</v>
      </c>
    </row>
    <row r="374" spans="6:7" x14ac:dyDescent="0.3">
      <c r="G374" t="s">
        <v>100</v>
      </c>
    </row>
    <row r="375" spans="6:7" x14ac:dyDescent="0.3">
      <c r="G375" t="s">
        <v>101</v>
      </c>
    </row>
    <row r="376" spans="6:7" x14ac:dyDescent="0.3">
      <c r="G376" t="s">
        <v>102</v>
      </c>
    </row>
    <row r="377" spans="6:7" x14ac:dyDescent="0.3">
      <c r="G377" t="s">
        <v>103</v>
      </c>
    </row>
    <row r="378" spans="6:7" x14ac:dyDescent="0.3">
      <c r="G378" t="s">
        <v>104</v>
      </c>
    </row>
    <row r="379" spans="6:7" x14ac:dyDescent="0.3">
      <c r="G379" t="s">
        <v>105</v>
      </c>
    </row>
    <row r="380" spans="6:7" x14ac:dyDescent="0.3">
      <c r="G380" t="s">
        <v>106</v>
      </c>
    </row>
    <row r="381" spans="6:7" x14ac:dyDescent="0.3">
      <c r="G381" t="s">
        <v>107</v>
      </c>
    </row>
    <row r="382" spans="6:7" x14ac:dyDescent="0.3">
      <c r="G382" t="s">
        <v>108</v>
      </c>
    </row>
    <row r="383" spans="6:7" x14ac:dyDescent="0.3">
      <c r="G383" t="s">
        <v>109</v>
      </c>
    </row>
    <row r="384" spans="6:7" x14ac:dyDescent="0.3">
      <c r="G384" t="s">
        <v>110</v>
      </c>
    </row>
    <row r="385" spans="7:7" x14ac:dyDescent="0.3">
      <c r="G385" t="s">
        <v>111</v>
      </c>
    </row>
    <row r="386" spans="7:7" x14ac:dyDescent="0.3">
      <c r="G386" t="s">
        <v>112</v>
      </c>
    </row>
    <row r="387" spans="7:7" x14ac:dyDescent="0.3">
      <c r="G387" t="s">
        <v>113</v>
      </c>
    </row>
    <row r="388" spans="7:7" x14ac:dyDescent="0.3">
      <c r="G388" t="s">
        <v>114</v>
      </c>
    </row>
    <row r="389" spans="7:7" x14ac:dyDescent="0.3">
      <c r="G389" t="s">
        <v>115</v>
      </c>
    </row>
    <row r="390" spans="7:7" x14ac:dyDescent="0.3">
      <c r="G390" t="s">
        <v>116</v>
      </c>
    </row>
    <row r="391" spans="7:7" x14ac:dyDescent="0.3">
      <c r="G391" t="s">
        <v>117</v>
      </c>
    </row>
    <row r="392" spans="7:7" x14ac:dyDescent="0.3">
      <c r="G392" t="s">
        <v>118</v>
      </c>
    </row>
    <row r="393" spans="7:7" x14ac:dyDescent="0.3">
      <c r="G393" t="s">
        <v>119</v>
      </c>
    </row>
    <row r="394" spans="7:7" x14ac:dyDescent="0.3">
      <c r="G394" t="s">
        <v>120</v>
      </c>
    </row>
    <row r="395" spans="7:7" x14ac:dyDescent="0.3">
      <c r="G395" t="s">
        <v>121</v>
      </c>
    </row>
    <row r="396" spans="7:7" x14ac:dyDescent="0.3">
      <c r="G396" t="s">
        <v>122</v>
      </c>
    </row>
    <row r="397" spans="7:7" x14ac:dyDescent="0.3">
      <c r="G397" t="s">
        <v>123</v>
      </c>
    </row>
    <row r="398" spans="7:7" x14ac:dyDescent="0.3">
      <c r="G398" t="s">
        <v>124</v>
      </c>
    </row>
    <row r="399" spans="7:7" x14ac:dyDescent="0.3">
      <c r="G399" t="s">
        <v>125</v>
      </c>
    </row>
    <row r="400" spans="7:7" x14ac:dyDescent="0.3">
      <c r="G400" t="s">
        <v>126</v>
      </c>
    </row>
    <row r="401" spans="7:7" x14ac:dyDescent="0.3">
      <c r="G401" t="s">
        <v>127</v>
      </c>
    </row>
    <row r="402" spans="7:7" x14ac:dyDescent="0.3">
      <c r="G402" t="s">
        <v>128</v>
      </c>
    </row>
    <row r="403" spans="7:7" x14ac:dyDescent="0.3">
      <c r="G403" t="s">
        <v>129</v>
      </c>
    </row>
    <row r="404" spans="7:7" x14ac:dyDescent="0.3">
      <c r="G404" t="s">
        <v>130</v>
      </c>
    </row>
    <row r="405" spans="7:7" x14ac:dyDescent="0.3">
      <c r="G405" t="s">
        <v>131</v>
      </c>
    </row>
    <row r="406" spans="7:7" x14ac:dyDescent="0.3">
      <c r="G406" t="s">
        <v>132</v>
      </c>
    </row>
    <row r="407" spans="7:7" x14ac:dyDescent="0.3">
      <c r="G407" t="s">
        <v>133</v>
      </c>
    </row>
    <row r="408" spans="7:7" x14ac:dyDescent="0.3">
      <c r="G408" t="s">
        <v>134</v>
      </c>
    </row>
    <row r="409" spans="7:7" x14ac:dyDescent="0.3">
      <c r="G409" t="s">
        <v>135</v>
      </c>
    </row>
    <row r="410" spans="7:7" x14ac:dyDescent="0.3">
      <c r="G410" t="s">
        <v>136</v>
      </c>
    </row>
    <row r="411" spans="7:7" x14ac:dyDescent="0.3">
      <c r="G411" t="s">
        <v>514</v>
      </c>
    </row>
    <row r="412" spans="7:7" x14ac:dyDescent="0.3">
      <c r="G412" t="s">
        <v>515</v>
      </c>
    </row>
    <row r="413" spans="7:7" x14ac:dyDescent="0.3">
      <c r="G413" t="s">
        <v>516</v>
      </c>
    </row>
    <row r="414" spans="7:7" x14ac:dyDescent="0.3">
      <c r="G414" t="s">
        <v>517</v>
      </c>
    </row>
    <row r="415" spans="7:7" x14ac:dyDescent="0.3">
      <c r="G415" t="s">
        <v>518</v>
      </c>
    </row>
    <row r="416" spans="7:7" x14ac:dyDescent="0.3">
      <c r="G416" t="s">
        <v>519</v>
      </c>
    </row>
    <row r="417" spans="7:7" x14ac:dyDescent="0.3">
      <c r="G417" t="s">
        <v>520</v>
      </c>
    </row>
    <row r="418" spans="7:7" x14ac:dyDescent="0.3">
      <c r="G418" t="s">
        <v>521</v>
      </c>
    </row>
    <row r="419" spans="7:7" x14ac:dyDescent="0.3">
      <c r="G419" t="s">
        <v>522</v>
      </c>
    </row>
    <row r="420" spans="7:7" x14ac:dyDescent="0.3">
      <c r="G420" t="s">
        <v>523</v>
      </c>
    </row>
    <row r="421" spans="7:7" x14ac:dyDescent="0.3">
      <c r="G421" t="s">
        <v>524</v>
      </c>
    </row>
    <row r="422" spans="7:7" x14ac:dyDescent="0.3">
      <c r="G422" t="s">
        <v>525</v>
      </c>
    </row>
    <row r="423" spans="7:7" x14ac:dyDescent="0.3">
      <c r="G423" t="s">
        <v>526</v>
      </c>
    </row>
    <row r="424" spans="7:7" x14ac:dyDescent="0.3">
      <c r="G424" t="s">
        <v>527</v>
      </c>
    </row>
    <row r="425" spans="7:7" x14ac:dyDescent="0.3">
      <c r="G425" t="s">
        <v>528</v>
      </c>
    </row>
    <row r="426" spans="7:7" x14ac:dyDescent="0.3">
      <c r="G426" t="s">
        <v>529</v>
      </c>
    </row>
    <row r="427" spans="7:7" x14ac:dyDescent="0.3">
      <c r="G427" t="s">
        <v>530</v>
      </c>
    </row>
    <row r="428" spans="7:7" x14ac:dyDescent="0.3">
      <c r="G428" t="s">
        <v>531</v>
      </c>
    </row>
    <row r="429" spans="7:7" x14ac:dyDescent="0.3">
      <c r="G429" t="s">
        <v>532</v>
      </c>
    </row>
    <row r="430" spans="7:7" x14ac:dyDescent="0.3">
      <c r="G430" t="s">
        <v>533</v>
      </c>
    </row>
    <row r="431" spans="7:7" x14ac:dyDescent="0.3">
      <c r="G431" t="s">
        <v>534</v>
      </c>
    </row>
    <row r="432" spans="7:7" x14ac:dyDescent="0.3">
      <c r="G432" t="s">
        <v>535</v>
      </c>
    </row>
    <row r="433" spans="7:7" x14ac:dyDescent="0.3">
      <c r="G433" t="s">
        <v>536</v>
      </c>
    </row>
    <row r="434" spans="7:7" x14ac:dyDescent="0.3">
      <c r="G434" t="s">
        <v>537</v>
      </c>
    </row>
    <row r="435" spans="7:7" x14ac:dyDescent="0.3">
      <c r="G435" t="s">
        <v>538</v>
      </c>
    </row>
    <row r="436" spans="7:7" x14ac:dyDescent="0.3">
      <c r="G436" t="s">
        <v>539</v>
      </c>
    </row>
    <row r="437" spans="7:7" x14ac:dyDescent="0.3">
      <c r="G437" t="s">
        <v>540</v>
      </c>
    </row>
    <row r="438" spans="7:7" x14ac:dyDescent="0.3">
      <c r="G438" t="s">
        <v>541</v>
      </c>
    </row>
    <row r="439" spans="7:7" x14ac:dyDescent="0.3">
      <c r="G439" t="s">
        <v>542</v>
      </c>
    </row>
    <row r="440" spans="7:7" x14ac:dyDescent="0.3">
      <c r="G440" t="s">
        <v>543</v>
      </c>
    </row>
    <row r="441" spans="7:7" x14ac:dyDescent="0.3">
      <c r="G441" t="s">
        <v>544</v>
      </c>
    </row>
    <row r="442" spans="7:7" x14ac:dyDescent="0.3">
      <c r="G442" t="s">
        <v>545</v>
      </c>
    </row>
    <row r="443" spans="7:7" x14ac:dyDescent="0.3">
      <c r="G443" t="s">
        <v>546</v>
      </c>
    </row>
    <row r="444" spans="7:7" x14ac:dyDescent="0.3">
      <c r="G444" t="s">
        <v>547</v>
      </c>
    </row>
    <row r="445" spans="7:7" x14ac:dyDescent="0.3">
      <c r="G445" t="s">
        <v>548</v>
      </c>
    </row>
    <row r="446" spans="7:7" x14ac:dyDescent="0.3">
      <c r="G446" t="s">
        <v>549</v>
      </c>
    </row>
    <row r="452" spans="1:9" x14ac:dyDescent="0.3">
      <c r="A452" s="2" t="s">
        <v>1011</v>
      </c>
      <c r="B452" t="s">
        <v>1041</v>
      </c>
      <c r="D452" t="str">
        <f>A452</f>
        <v>Partner.Partner</v>
      </c>
      <c r="E452" t="str">
        <f>B452</f>
        <v>Revenue</v>
      </c>
      <c r="F452" t="s">
        <v>1055</v>
      </c>
      <c r="H452" t="s">
        <v>1055</v>
      </c>
      <c r="I452">
        <f>SUM(F453:F455)</f>
        <v>292353297</v>
      </c>
    </row>
    <row r="453" spans="1:9" x14ac:dyDescent="0.3">
      <c r="A453" t="s">
        <v>84</v>
      </c>
      <c r="B453" s="28">
        <v>166245232</v>
      </c>
      <c r="D453" t="str">
        <f t="shared" ref="D453:D516" si="8">A453</f>
        <v>Direct</v>
      </c>
      <c r="E453">
        <f t="shared" ref="E453:E516" si="9">B453</f>
        <v>166245232</v>
      </c>
      <c r="F453">
        <f>E453</f>
        <v>166245232</v>
      </c>
      <c r="H453" t="s">
        <v>1056</v>
      </c>
      <c r="I453">
        <f>SUM(E453:E552)</f>
        <v>461120899</v>
      </c>
    </row>
    <row r="454" spans="1:9" x14ac:dyDescent="0.3">
      <c r="A454" t="s">
        <v>526</v>
      </c>
      <c r="B454" s="28">
        <v>98183548</v>
      </c>
      <c r="D454" t="str">
        <f t="shared" si="8"/>
        <v>Sontaxon</v>
      </c>
      <c r="E454">
        <f t="shared" si="9"/>
        <v>98183548</v>
      </c>
      <c r="F454">
        <f>E454</f>
        <v>98183548</v>
      </c>
      <c r="H454" t="s">
        <v>1057</v>
      </c>
      <c r="I454" s="16">
        <f>I452/I453</f>
        <v>0.63400574043381186</v>
      </c>
    </row>
    <row r="455" spans="1:9" x14ac:dyDescent="0.3">
      <c r="A455" t="s">
        <v>115</v>
      </c>
      <c r="B455" s="28">
        <v>27924517</v>
      </c>
      <c r="D455" t="str">
        <f t="shared" si="8"/>
        <v>Joblamcon</v>
      </c>
      <c r="E455">
        <f t="shared" si="9"/>
        <v>27924517</v>
      </c>
      <c r="F455">
        <f>E455</f>
        <v>27924517</v>
      </c>
    </row>
    <row r="456" spans="1:9" x14ac:dyDescent="0.3">
      <c r="A456" t="s">
        <v>136</v>
      </c>
      <c r="B456" s="28">
        <v>8611579</v>
      </c>
      <c r="D456" t="str">
        <f t="shared" si="8"/>
        <v>Quadsoloace</v>
      </c>
      <c r="E456">
        <f t="shared" si="9"/>
        <v>8611579</v>
      </c>
      <c r="H456" t="str">
        <f>"Top 3 Partner brings " &amp;TEXT(I454,"0%")&amp; " Reveune"</f>
        <v>Top 3 Partner brings 63% Reveune</v>
      </c>
    </row>
    <row r="457" spans="1:9" x14ac:dyDescent="0.3">
      <c r="A457" t="s">
        <v>539</v>
      </c>
      <c r="B457" s="28">
        <v>7061432</v>
      </c>
      <c r="D457" t="str">
        <f t="shared" si="8"/>
        <v>Ventolane</v>
      </c>
      <c r="E457">
        <f t="shared" si="9"/>
        <v>7061432</v>
      </c>
    </row>
    <row r="458" spans="1:9" x14ac:dyDescent="0.3">
      <c r="A458" t="s">
        <v>88</v>
      </c>
      <c r="B458" s="28">
        <v>6616847</v>
      </c>
      <c r="D458" t="str">
        <f t="shared" si="8"/>
        <v>Drillelectronics</v>
      </c>
      <c r="E458">
        <f t="shared" si="9"/>
        <v>6616847</v>
      </c>
    </row>
    <row r="459" spans="1:9" x14ac:dyDescent="0.3">
      <c r="A459" t="s">
        <v>525</v>
      </c>
      <c r="B459" s="28">
        <v>5692439</v>
      </c>
      <c r="D459" t="str">
        <f t="shared" si="8"/>
        <v>Songreen</v>
      </c>
      <c r="E459">
        <f t="shared" si="9"/>
        <v>5692439</v>
      </c>
    </row>
    <row r="460" spans="1:9" x14ac:dyDescent="0.3">
      <c r="A460" t="s">
        <v>547</v>
      </c>
      <c r="B460" s="28">
        <v>5522034</v>
      </c>
      <c r="D460" t="str">
        <f t="shared" si="8"/>
        <v>Zoomtone</v>
      </c>
      <c r="E460">
        <f t="shared" si="9"/>
        <v>5522034</v>
      </c>
    </row>
    <row r="461" spans="1:9" x14ac:dyDescent="0.3">
      <c r="A461" t="s">
        <v>127</v>
      </c>
      <c r="B461" s="28">
        <v>5443105</v>
      </c>
      <c r="D461" t="str">
        <f t="shared" si="8"/>
        <v>Movestreet</v>
      </c>
      <c r="E461">
        <f t="shared" si="9"/>
        <v>5443105</v>
      </c>
    </row>
    <row r="462" spans="1:9" x14ac:dyDescent="0.3">
      <c r="A462" t="s">
        <v>104</v>
      </c>
      <c r="B462" s="28">
        <v>5270162</v>
      </c>
      <c r="D462" t="str">
        <f t="shared" si="8"/>
        <v>Hotlam</v>
      </c>
      <c r="E462">
        <f t="shared" si="9"/>
        <v>5270162</v>
      </c>
    </row>
    <row r="463" spans="1:9" x14ac:dyDescent="0.3">
      <c r="A463" t="s">
        <v>112</v>
      </c>
      <c r="B463" s="28">
        <v>4936388</v>
      </c>
      <c r="D463" t="str">
        <f t="shared" si="8"/>
        <v>Is-technology</v>
      </c>
      <c r="E463">
        <f t="shared" si="9"/>
        <v>4936388</v>
      </c>
    </row>
    <row r="464" spans="1:9" x14ac:dyDescent="0.3">
      <c r="A464" t="s">
        <v>514</v>
      </c>
      <c r="B464" s="28">
        <v>4445295</v>
      </c>
      <c r="D464" t="str">
        <f t="shared" si="8"/>
        <v>Quadtex</v>
      </c>
      <c r="E464">
        <f t="shared" si="9"/>
        <v>4445295</v>
      </c>
    </row>
    <row r="465" spans="1:5" x14ac:dyDescent="0.3">
      <c r="A465" t="s">
        <v>128</v>
      </c>
      <c r="B465" s="28">
        <v>4389866</v>
      </c>
      <c r="D465" t="str">
        <f t="shared" si="8"/>
        <v>Nimdax</v>
      </c>
      <c r="E465">
        <f t="shared" si="9"/>
        <v>4389866</v>
      </c>
    </row>
    <row r="466" spans="1:5" x14ac:dyDescent="0.3">
      <c r="A466" t="s">
        <v>109</v>
      </c>
      <c r="B466" s="28">
        <v>4350198</v>
      </c>
      <c r="D466" t="str">
        <f t="shared" si="8"/>
        <v>Indiity</v>
      </c>
      <c r="E466">
        <f t="shared" si="9"/>
        <v>4350198</v>
      </c>
    </row>
    <row r="467" spans="1:5" x14ac:dyDescent="0.3">
      <c r="A467" t="s">
        <v>97</v>
      </c>
      <c r="B467" s="28">
        <v>4293396</v>
      </c>
      <c r="D467" t="str">
        <f t="shared" si="8"/>
        <v>Free-electronics</v>
      </c>
      <c r="E467">
        <f t="shared" si="9"/>
        <v>4293396</v>
      </c>
    </row>
    <row r="468" spans="1:5" x14ac:dyDescent="0.3">
      <c r="A468" t="s">
        <v>544</v>
      </c>
      <c r="B468" s="28">
        <v>3626947</v>
      </c>
      <c r="D468" t="str">
        <f t="shared" si="8"/>
        <v>Zaamphase</v>
      </c>
      <c r="E468">
        <f t="shared" si="9"/>
        <v>3626947</v>
      </c>
    </row>
    <row r="469" spans="1:5" x14ac:dyDescent="0.3">
      <c r="A469" t="s">
        <v>96</v>
      </c>
      <c r="B469" s="28">
        <v>3483616</v>
      </c>
      <c r="D469" t="str">
        <f t="shared" si="8"/>
        <v>Flexzim</v>
      </c>
      <c r="E469">
        <f t="shared" si="9"/>
        <v>3483616</v>
      </c>
    </row>
    <row r="470" spans="1:5" x14ac:dyDescent="0.3">
      <c r="A470" t="s">
        <v>124</v>
      </c>
      <c r="B470" s="28">
        <v>3009578</v>
      </c>
      <c r="D470" t="str">
        <f t="shared" si="8"/>
        <v>Medfax</v>
      </c>
      <c r="E470">
        <f t="shared" si="9"/>
        <v>3009578</v>
      </c>
    </row>
    <row r="471" spans="1:5" x14ac:dyDescent="0.3">
      <c r="A471" t="s">
        <v>538</v>
      </c>
      <c r="B471" s="28">
        <v>2999898</v>
      </c>
      <c r="D471" t="str">
        <f t="shared" si="8"/>
        <v>Vaiadocon</v>
      </c>
      <c r="E471">
        <f t="shared" si="9"/>
        <v>2999898</v>
      </c>
    </row>
    <row r="472" spans="1:5" x14ac:dyDescent="0.3">
      <c r="A472" t="s">
        <v>100</v>
      </c>
      <c r="B472" s="28">
        <v>2770806</v>
      </c>
      <c r="D472" t="str">
        <f t="shared" si="8"/>
        <v>Goldenstreet</v>
      </c>
      <c r="E472">
        <f t="shared" si="9"/>
        <v>2770806</v>
      </c>
    </row>
    <row r="473" spans="1:5" x14ac:dyDescent="0.3">
      <c r="A473" t="s">
        <v>118</v>
      </c>
      <c r="B473" s="28">
        <v>2725163</v>
      </c>
      <c r="D473" t="str">
        <f t="shared" si="8"/>
        <v>Konkdom</v>
      </c>
      <c r="E473">
        <f t="shared" si="9"/>
        <v>2725163</v>
      </c>
    </row>
    <row r="474" spans="1:5" x14ac:dyDescent="0.3">
      <c r="A474" t="s">
        <v>129</v>
      </c>
      <c r="B474" s="28">
        <v>2709907</v>
      </c>
      <c r="D474" t="str">
        <f t="shared" si="8"/>
        <v>Operon</v>
      </c>
      <c r="E474">
        <f t="shared" si="9"/>
        <v>2709907</v>
      </c>
    </row>
    <row r="475" spans="1:5" x14ac:dyDescent="0.3">
      <c r="A475" t="s">
        <v>101</v>
      </c>
      <c r="B475" s="28">
        <v>2672243</v>
      </c>
      <c r="D475" t="str">
        <f t="shared" si="8"/>
        <v>gravedrill</v>
      </c>
      <c r="E475">
        <f t="shared" si="9"/>
        <v>2672243</v>
      </c>
    </row>
    <row r="476" spans="1:5" x14ac:dyDescent="0.3">
      <c r="A476" t="s">
        <v>535</v>
      </c>
      <c r="B476" s="28">
        <v>2592577</v>
      </c>
      <c r="D476" t="str">
        <f t="shared" si="8"/>
        <v>Trioice</v>
      </c>
      <c r="E476">
        <f t="shared" si="9"/>
        <v>2592577</v>
      </c>
    </row>
    <row r="477" spans="1:5" x14ac:dyDescent="0.3">
      <c r="A477" t="s">
        <v>77</v>
      </c>
      <c r="B477" s="28">
        <v>2550336</v>
      </c>
      <c r="D477" t="str">
        <f t="shared" si="8"/>
        <v>biotom</v>
      </c>
      <c r="E477">
        <f t="shared" si="9"/>
        <v>2550336</v>
      </c>
    </row>
    <row r="478" spans="1:5" x14ac:dyDescent="0.3">
      <c r="A478" t="s">
        <v>516</v>
      </c>
      <c r="B478" s="28">
        <v>2548619</v>
      </c>
      <c r="D478" t="str">
        <f t="shared" si="8"/>
        <v>Quofase</v>
      </c>
      <c r="E478">
        <f t="shared" si="9"/>
        <v>2548619</v>
      </c>
    </row>
    <row r="479" spans="1:5" x14ac:dyDescent="0.3">
      <c r="A479" t="s">
        <v>89</v>
      </c>
      <c r="B479" s="28">
        <v>2379200</v>
      </c>
      <c r="D479" t="str">
        <f t="shared" si="8"/>
        <v>Dripstrip</v>
      </c>
      <c r="E479">
        <f t="shared" si="9"/>
        <v>2379200</v>
      </c>
    </row>
    <row r="480" spans="1:5" x14ac:dyDescent="0.3">
      <c r="A480" t="s">
        <v>78</v>
      </c>
      <c r="B480" s="28">
        <v>2283660</v>
      </c>
      <c r="D480" t="str">
        <f t="shared" si="8"/>
        <v>Canezap</v>
      </c>
      <c r="E480">
        <f t="shared" si="9"/>
        <v>2283660</v>
      </c>
    </row>
    <row r="481" spans="1:5" x14ac:dyDescent="0.3">
      <c r="A481" t="s">
        <v>518</v>
      </c>
      <c r="B481" s="28">
        <v>2087443</v>
      </c>
      <c r="D481" t="str">
        <f t="shared" si="8"/>
        <v>quotechi</v>
      </c>
      <c r="E481">
        <f t="shared" si="9"/>
        <v>2087443</v>
      </c>
    </row>
    <row r="482" spans="1:5" x14ac:dyDescent="0.3">
      <c r="A482" t="s">
        <v>99</v>
      </c>
      <c r="B482" s="28">
        <v>2078998</v>
      </c>
      <c r="D482" t="str">
        <f t="shared" si="8"/>
        <v>Ganjacore</v>
      </c>
      <c r="E482">
        <f t="shared" si="9"/>
        <v>2078998</v>
      </c>
    </row>
    <row r="483" spans="1:5" x14ac:dyDescent="0.3">
      <c r="A483" t="s">
        <v>114</v>
      </c>
      <c r="B483" s="28">
        <v>2025795</v>
      </c>
      <c r="D483" t="str">
        <f t="shared" si="8"/>
        <v>Jobice</v>
      </c>
      <c r="E483">
        <f t="shared" si="9"/>
        <v>2025795</v>
      </c>
    </row>
    <row r="484" spans="1:5" x14ac:dyDescent="0.3">
      <c r="A484" t="s">
        <v>123</v>
      </c>
      <c r="B484" s="28">
        <v>2013368</v>
      </c>
      <c r="D484" t="str">
        <f t="shared" si="8"/>
        <v>Mathredex</v>
      </c>
      <c r="E484">
        <f t="shared" si="9"/>
        <v>2013368</v>
      </c>
    </row>
    <row r="485" spans="1:5" x14ac:dyDescent="0.3">
      <c r="A485" t="s">
        <v>76</v>
      </c>
      <c r="B485" s="28">
        <v>1985520</v>
      </c>
      <c r="D485" t="str">
        <f t="shared" si="8"/>
        <v>biglax</v>
      </c>
      <c r="E485">
        <f t="shared" si="9"/>
        <v>1985520</v>
      </c>
    </row>
    <row r="486" spans="1:5" x14ac:dyDescent="0.3">
      <c r="A486" t="s">
        <v>531</v>
      </c>
      <c r="B486" s="28">
        <v>1804826</v>
      </c>
      <c r="D486" t="str">
        <f t="shared" si="8"/>
        <v>Suntaxon</v>
      </c>
      <c r="E486">
        <f t="shared" si="9"/>
        <v>1804826</v>
      </c>
    </row>
    <row r="487" spans="1:5" x14ac:dyDescent="0.3">
      <c r="A487" t="s">
        <v>82</v>
      </c>
      <c r="B487" s="28">
        <v>1791186</v>
      </c>
      <c r="D487" t="str">
        <f t="shared" si="8"/>
        <v>Dantech</v>
      </c>
      <c r="E487">
        <f t="shared" si="9"/>
        <v>1791186</v>
      </c>
    </row>
    <row r="488" spans="1:5" x14ac:dyDescent="0.3">
      <c r="A488" t="s">
        <v>119</v>
      </c>
      <c r="B488" s="28">
        <v>1785932</v>
      </c>
      <c r="D488" t="str">
        <f t="shared" si="8"/>
        <v>Konktom</v>
      </c>
      <c r="E488">
        <f t="shared" si="9"/>
        <v>1785932</v>
      </c>
    </row>
    <row r="489" spans="1:5" x14ac:dyDescent="0.3">
      <c r="A489" t="s">
        <v>102</v>
      </c>
      <c r="B489" s="28">
        <v>1785390</v>
      </c>
      <c r="D489" t="str">
        <f t="shared" si="8"/>
        <v>Hayit</v>
      </c>
      <c r="E489">
        <f t="shared" si="9"/>
        <v>1785390</v>
      </c>
    </row>
    <row r="490" spans="1:5" x14ac:dyDescent="0.3">
      <c r="A490" t="s">
        <v>80</v>
      </c>
      <c r="B490" s="28">
        <v>1779365</v>
      </c>
      <c r="D490" t="str">
        <f t="shared" si="8"/>
        <v>Dalttouch</v>
      </c>
      <c r="E490">
        <f t="shared" si="9"/>
        <v>1779365</v>
      </c>
    </row>
    <row r="491" spans="1:5" x14ac:dyDescent="0.3">
      <c r="A491" t="s">
        <v>122</v>
      </c>
      <c r="B491" s="28">
        <v>1626273</v>
      </c>
      <c r="D491" t="str">
        <f t="shared" si="8"/>
        <v>lanequote</v>
      </c>
      <c r="E491">
        <f t="shared" si="9"/>
        <v>1626273</v>
      </c>
    </row>
    <row r="492" spans="1:5" x14ac:dyDescent="0.3">
      <c r="A492" t="s">
        <v>540</v>
      </c>
      <c r="B492" s="28">
        <v>1605744</v>
      </c>
      <c r="D492" t="str">
        <f t="shared" si="8"/>
        <v>Vivastreet</v>
      </c>
      <c r="E492">
        <f t="shared" si="9"/>
        <v>1605744</v>
      </c>
    </row>
    <row r="493" spans="1:5" x14ac:dyDescent="0.3">
      <c r="A493" t="s">
        <v>517</v>
      </c>
      <c r="B493" s="28">
        <v>1595469</v>
      </c>
      <c r="D493" t="str">
        <f t="shared" si="8"/>
        <v>Quo-planet</v>
      </c>
      <c r="E493">
        <f t="shared" si="9"/>
        <v>1595469</v>
      </c>
    </row>
    <row r="494" spans="1:5" x14ac:dyDescent="0.3">
      <c r="A494" t="s">
        <v>131</v>
      </c>
      <c r="B494" s="28">
        <v>1592449</v>
      </c>
      <c r="D494" t="str">
        <f t="shared" si="8"/>
        <v>Planethouse</v>
      </c>
      <c r="E494">
        <f t="shared" si="9"/>
        <v>1592449</v>
      </c>
    </row>
    <row r="495" spans="1:5" x14ac:dyDescent="0.3">
      <c r="A495" t="s">
        <v>87</v>
      </c>
      <c r="B495" s="28">
        <v>1585121</v>
      </c>
      <c r="D495" t="str">
        <f t="shared" si="8"/>
        <v>Doublestreet</v>
      </c>
      <c r="E495">
        <f t="shared" si="9"/>
        <v>1585121</v>
      </c>
    </row>
    <row r="496" spans="1:5" x14ac:dyDescent="0.3">
      <c r="A496" t="s">
        <v>528</v>
      </c>
      <c r="B496" s="28">
        <v>1544994</v>
      </c>
      <c r="D496" t="str">
        <f t="shared" si="8"/>
        <v>Stimsanlux</v>
      </c>
      <c r="E496">
        <f t="shared" si="9"/>
        <v>1544994</v>
      </c>
    </row>
    <row r="497" spans="1:5" x14ac:dyDescent="0.3">
      <c r="A497" t="s">
        <v>120</v>
      </c>
      <c r="B497" s="28">
        <v>1493737</v>
      </c>
      <c r="D497" t="str">
        <f t="shared" si="8"/>
        <v>Konzozdax</v>
      </c>
      <c r="E497">
        <f t="shared" si="9"/>
        <v>1493737</v>
      </c>
    </row>
    <row r="498" spans="1:5" x14ac:dyDescent="0.3">
      <c r="A498" t="s">
        <v>117</v>
      </c>
      <c r="B498" s="28">
        <v>1463410</v>
      </c>
      <c r="D498" t="str">
        <f t="shared" si="8"/>
        <v>Kanlam</v>
      </c>
      <c r="E498">
        <f t="shared" si="9"/>
        <v>1463410</v>
      </c>
    </row>
    <row r="499" spans="1:5" x14ac:dyDescent="0.3">
      <c r="A499" t="s">
        <v>105</v>
      </c>
      <c r="B499" s="28">
        <v>1428888</v>
      </c>
      <c r="D499" t="str">
        <f t="shared" si="8"/>
        <v>Hotlane</v>
      </c>
      <c r="E499">
        <f t="shared" si="9"/>
        <v>1428888</v>
      </c>
    </row>
    <row r="500" spans="1:5" x14ac:dyDescent="0.3">
      <c r="A500" t="s">
        <v>116</v>
      </c>
      <c r="B500" s="28">
        <v>1317964</v>
      </c>
      <c r="D500" t="str">
        <f t="shared" si="8"/>
        <v>kan-dom</v>
      </c>
      <c r="E500">
        <f t="shared" si="9"/>
        <v>1317964</v>
      </c>
    </row>
    <row r="501" spans="1:5" x14ac:dyDescent="0.3">
      <c r="A501" t="s">
        <v>79</v>
      </c>
      <c r="B501" s="28">
        <v>1271165</v>
      </c>
      <c r="D501" t="str">
        <f t="shared" si="8"/>
        <v>Daltdexon</v>
      </c>
      <c r="E501">
        <f t="shared" si="9"/>
        <v>1271165</v>
      </c>
    </row>
    <row r="502" spans="1:5" x14ac:dyDescent="0.3">
      <c r="A502" t="s">
        <v>125</v>
      </c>
      <c r="B502" s="28">
        <v>1188880</v>
      </c>
      <c r="D502" t="str">
        <f t="shared" si="8"/>
        <v>mediaphase</v>
      </c>
      <c r="E502">
        <f t="shared" si="9"/>
        <v>1188880</v>
      </c>
    </row>
    <row r="503" spans="1:5" x14ac:dyDescent="0.3">
      <c r="A503" t="s">
        <v>74</v>
      </c>
      <c r="B503" s="28">
        <v>1135215</v>
      </c>
      <c r="D503" t="str">
        <f t="shared" si="8"/>
        <v>bamtone</v>
      </c>
      <c r="E503">
        <f t="shared" si="9"/>
        <v>1135215</v>
      </c>
    </row>
    <row r="504" spans="1:5" x14ac:dyDescent="0.3">
      <c r="A504" t="s">
        <v>548</v>
      </c>
      <c r="B504" s="28">
        <v>1132959</v>
      </c>
      <c r="D504" t="str">
        <f t="shared" si="8"/>
        <v>Zotcare</v>
      </c>
      <c r="E504">
        <f t="shared" si="9"/>
        <v>1132959</v>
      </c>
    </row>
    <row r="505" spans="1:5" x14ac:dyDescent="0.3">
      <c r="A505" t="s">
        <v>73</v>
      </c>
      <c r="B505" s="28">
        <v>1130330</v>
      </c>
      <c r="D505" t="str">
        <f t="shared" si="8"/>
        <v>Bamgreen</v>
      </c>
      <c r="E505">
        <f t="shared" si="9"/>
        <v>1130330</v>
      </c>
    </row>
    <row r="506" spans="1:5" x14ac:dyDescent="0.3">
      <c r="A506" t="s">
        <v>90</v>
      </c>
      <c r="B506" s="28">
        <v>1128878</v>
      </c>
      <c r="D506" t="str">
        <f t="shared" si="8"/>
        <v>Duo-tech</v>
      </c>
      <c r="E506">
        <f t="shared" si="9"/>
        <v>1128878</v>
      </c>
    </row>
    <row r="507" spans="1:5" x14ac:dyDescent="0.3">
      <c r="A507" t="s">
        <v>83</v>
      </c>
      <c r="B507" s="28">
        <v>1098457</v>
      </c>
      <c r="D507" t="str">
        <f t="shared" si="8"/>
        <v>Dentojob</v>
      </c>
      <c r="E507">
        <f t="shared" si="9"/>
        <v>1098457</v>
      </c>
    </row>
    <row r="508" spans="1:5" x14ac:dyDescent="0.3">
      <c r="A508" t="s">
        <v>81</v>
      </c>
      <c r="B508" s="28">
        <v>1067848</v>
      </c>
      <c r="D508" t="str">
        <f t="shared" si="8"/>
        <v>Damlane</v>
      </c>
      <c r="E508">
        <f t="shared" si="9"/>
        <v>1067848</v>
      </c>
    </row>
    <row r="509" spans="1:5" x14ac:dyDescent="0.3">
      <c r="A509" t="s">
        <v>93</v>
      </c>
      <c r="B509" s="28">
        <v>976875</v>
      </c>
      <c r="D509" t="str">
        <f t="shared" si="8"/>
        <v>Fincom</v>
      </c>
      <c r="E509">
        <f t="shared" si="9"/>
        <v>976875</v>
      </c>
    </row>
    <row r="510" spans="1:5" x14ac:dyDescent="0.3">
      <c r="A510" t="s">
        <v>521</v>
      </c>
      <c r="B510" s="28">
        <v>974690</v>
      </c>
      <c r="D510" t="str">
        <f t="shared" si="8"/>
        <v>Redplanet</v>
      </c>
      <c r="E510">
        <f t="shared" si="9"/>
        <v>974690</v>
      </c>
    </row>
    <row r="511" spans="1:5" x14ac:dyDescent="0.3">
      <c r="A511" t="s">
        <v>134</v>
      </c>
      <c r="B511" s="28">
        <v>945087</v>
      </c>
      <c r="D511" t="str">
        <f t="shared" si="8"/>
        <v>Plexsolfix</v>
      </c>
      <c r="E511">
        <f t="shared" si="9"/>
        <v>945087</v>
      </c>
    </row>
    <row r="512" spans="1:5" x14ac:dyDescent="0.3">
      <c r="A512" t="s">
        <v>520</v>
      </c>
      <c r="B512" s="28">
        <v>928931</v>
      </c>
      <c r="D512" t="str">
        <f t="shared" si="8"/>
        <v>Rank-com</v>
      </c>
      <c r="E512">
        <f t="shared" si="9"/>
        <v>928931</v>
      </c>
    </row>
    <row r="513" spans="1:5" x14ac:dyDescent="0.3">
      <c r="A513" t="s">
        <v>130</v>
      </c>
      <c r="B513" s="28">
        <v>888002</v>
      </c>
      <c r="D513" t="str">
        <f t="shared" si="8"/>
        <v>Overhigh</v>
      </c>
      <c r="E513">
        <f t="shared" si="9"/>
        <v>888002</v>
      </c>
    </row>
    <row r="514" spans="1:5" x14ac:dyDescent="0.3">
      <c r="A514" t="s">
        <v>519</v>
      </c>
      <c r="B514" s="28">
        <v>855726</v>
      </c>
      <c r="D514" t="str">
        <f t="shared" si="8"/>
        <v>Quotein</v>
      </c>
      <c r="E514">
        <f t="shared" si="9"/>
        <v>855726</v>
      </c>
    </row>
    <row r="515" spans="1:5" x14ac:dyDescent="0.3">
      <c r="A515" t="s">
        <v>515</v>
      </c>
      <c r="B515" s="28">
        <v>835707</v>
      </c>
      <c r="D515" t="str">
        <f t="shared" si="8"/>
        <v>Quadzoom</v>
      </c>
      <c r="E515">
        <f t="shared" si="9"/>
        <v>835707</v>
      </c>
    </row>
    <row r="516" spans="1:5" x14ac:dyDescent="0.3">
      <c r="A516" t="s">
        <v>94</v>
      </c>
      <c r="B516" s="28">
        <v>801887</v>
      </c>
      <c r="D516" t="str">
        <f t="shared" si="8"/>
        <v>Fixplus</v>
      </c>
      <c r="E516">
        <f t="shared" si="9"/>
        <v>801887</v>
      </c>
    </row>
    <row r="517" spans="1:5" x14ac:dyDescent="0.3">
      <c r="A517" t="s">
        <v>91</v>
      </c>
      <c r="B517" s="28">
        <v>776866</v>
      </c>
      <c r="D517" t="str">
        <f t="shared" ref="D517:D552" si="10">A517</f>
        <v>Duotechi</v>
      </c>
      <c r="E517">
        <f t="shared" ref="E517:E552" si="11">B517</f>
        <v>776866</v>
      </c>
    </row>
    <row r="518" spans="1:5" x14ac:dyDescent="0.3">
      <c r="A518" t="s">
        <v>543</v>
      </c>
      <c r="B518" s="28">
        <v>774936</v>
      </c>
      <c r="D518" t="str">
        <f t="shared" si="10"/>
        <v>Yearhouse</v>
      </c>
      <c r="E518">
        <f t="shared" si="11"/>
        <v>774936</v>
      </c>
    </row>
    <row r="519" spans="1:5" x14ac:dyDescent="0.3">
      <c r="A519" t="s">
        <v>133</v>
      </c>
      <c r="B519" s="28">
        <v>712774</v>
      </c>
      <c r="D519" t="str">
        <f t="shared" si="10"/>
        <v>plex-holdings</v>
      </c>
      <c r="E519">
        <f t="shared" si="11"/>
        <v>712774</v>
      </c>
    </row>
    <row r="520" spans="1:5" x14ac:dyDescent="0.3">
      <c r="A520" t="s">
        <v>108</v>
      </c>
      <c r="B520" s="28">
        <v>697132</v>
      </c>
      <c r="D520" t="str">
        <f t="shared" si="10"/>
        <v>ice-lex</v>
      </c>
      <c r="E520">
        <f t="shared" si="11"/>
        <v>697132</v>
      </c>
    </row>
    <row r="521" spans="1:5" x14ac:dyDescent="0.3">
      <c r="A521" t="s">
        <v>533</v>
      </c>
      <c r="B521" s="28">
        <v>670383</v>
      </c>
      <c r="D521" t="str">
        <f t="shared" si="10"/>
        <v>tamptrax</v>
      </c>
      <c r="E521">
        <f t="shared" si="11"/>
        <v>670383</v>
      </c>
    </row>
    <row r="522" spans="1:5" x14ac:dyDescent="0.3">
      <c r="A522" t="s">
        <v>549</v>
      </c>
      <c r="B522" s="28">
        <v>623836</v>
      </c>
      <c r="D522" t="str">
        <f t="shared" si="10"/>
        <v>Zummedtech</v>
      </c>
      <c r="E522">
        <f t="shared" si="11"/>
        <v>623836</v>
      </c>
    </row>
    <row r="523" spans="1:5" x14ac:dyDescent="0.3">
      <c r="A523" t="s">
        <v>86</v>
      </c>
      <c r="B523" s="28">
        <v>621447</v>
      </c>
      <c r="D523" t="str">
        <f t="shared" si="10"/>
        <v>Donuniace</v>
      </c>
      <c r="E523">
        <f t="shared" si="11"/>
        <v>621447</v>
      </c>
    </row>
    <row r="524" spans="1:5" x14ac:dyDescent="0.3">
      <c r="A524" t="s">
        <v>107</v>
      </c>
      <c r="B524" s="28">
        <v>617111</v>
      </c>
      <c r="D524" t="str">
        <f t="shared" si="10"/>
        <v>Ice-find</v>
      </c>
      <c r="E524">
        <f t="shared" si="11"/>
        <v>617111</v>
      </c>
    </row>
    <row r="525" spans="1:5" x14ac:dyDescent="0.3">
      <c r="A525" t="s">
        <v>546</v>
      </c>
      <c r="B525" s="28">
        <v>615755</v>
      </c>
      <c r="D525" t="str">
        <f t="shared" si="10"/>
        <v>zonstrip</v>
      </c>
      <c r="E525">
        <f t="shared" si="11"/>
        <v>615755</v>
      </c>
    </row>
    <row r="526" spans="1:5" x14ac:dyDescent="0.3">
      <c r="A526" t="s">
        <v>113</v>
      </c>
      <c r="B526" s="28">
        <v>602276</v>
      </c>
      <c r="D526" t="str">
        <f t="shared" si="10"/>
        <v>Jaytam</v>
      </c>
      <c r="E526">
        <f t="shared" si="11"/>
        <v>602276</v>
      </c>
    </row>
    <row r="527" spans="1:5" x14ac:dyDescent="0.3">
      <c r="A527" t="s">
        <v>71</v>
      </c>
      <c r="B527" s="28">
        <v>594828</v>
      </c>
      <c r="D527" t="str">
        <f t="shared" si="10"/>
        <v>Acegreen</v>
      </c>
      <c r="E527">
        <f t="shared" si="11"/>
        <v>594828</v>
      </c>
    </row>
    <row r="528" spans="1:5" x14ac:dyDescent="0.3">
      <c r="A528" t="s">
        <v>98</v>
      </c>
      <c r="B528" s="28">
        <v>590472</v>
      </c>
      <c r="D528" t="str">
        <f t="shared" si="10"/>
        <v>Funcane</v>
      </c>
      <c r="E528">
        <f t="shared" si="11"/>
        <v>590472</v>
      </c>
    </row>
    <row r="529" spans="1:5" x14ac:dyDescent="0.3">
      <c r="A529" t="s">
        <v>537</v>
      </c>
      <c r="B529" s="28">
        <v>578674</v>
      </c>
      <c r="D529" t="str">
        <f t="shared" si="10"/>
        <v>Unaquoing</v>
      </c>
      <c r="E529">
        <f t="shared" si="11"/>
        <v>578674</v>
      </c>
    </row>
    <row r="530" spans="1:5" x14ac:dyDescent="0.3">
      <c r="A530" t="s">
        <v>103</v>
      </c>
      <c r="B530" s="28">
        <v>530489</v>
      </c>
      <c r="D530" t="str">
        <f t="shared" si="10"/>
        <v>Hotaphex</v>
      </c>
      <c r="E530">
        <f t="shared" si="11"/>
        <v>530489</v>
      </c>
    </row>
    <row r="531" spans="1:5" x14ac:dyDescent="0.3">
      <c r="A531" t="s">
        <v>530</v>
      </c>
      <c r="B531" s="28">
        <v>514597</v>
      </c>
      <c r="D531" t="str">
        <f t="shared" si="10"/>
        <v>sumdrill</v>
      </c>
      <c r="E531">
        <f t="shared" si="11"/>
        <v>514597</v>
      </c>
    </row>
    <row r="532" spans="1:5" x14ac:dyDescent="0.3">
      <c r="A532" t="s">
        <v>126</v>
      </c>
      <c r="B532" s="28">
        <v>474989</v>
      </c>
      <c r="D532" t="str">
        <f t="shared" si="10"/>
        <v>movedex</v>
      </c>
      <c r="E532">
        <f t="shared" si="11"/>
        <v>474989</v>
      </c>
    </row>
    <row r="533" spans="1:5" x14ac:dyDescent="0.3">
      <c r="A533" t="s">
        <v>524</v>
      </c>
      <c r="B533" s="28">
        <v>453297</v>
      </c>
      <c r="D533" t="str">
        <f t="shared" si="10"/>
        <v>Saltstreet</v>
      </c>
      <c r="E533">
        <f t="shared" si="11"/>
        <v>453297</v>
      </c>
    </row>
    <row r="534" spans="1:5" x14ac:dyDescent="0.3">
      <c r="A534" t="s">
        <v>75</v>
      </c>
      <c r="B534" s="28">
        <v>433416</v>
      </c>
      <c r="D534" t="str">
        <f t="shared" si="10"/>
        <v>Bigcore</v>
      </c>
      <c r="E534">
        <f t="shared" si="11"/>
        <v>433416</v>
      </c>
    </row>
    <row r="535" spans="1:5" x14ac:dyDescent="0.3">
      <c r="A535" t="s">
        <v>529</v>
      </c>
      <c r="B535" s="28">
        <v>416048</v>
      </c>
      <c r="D535" t="str">
        <f t="shared" si="10"/>
        <v>Strongzone</v>
      </c>
      <c r="E535">
        <f t="shared" si="11"/>
        <v>416048</v>
      </c>
    </row>
    <row r="536" spans="1:5" x14ac:dyDescent="0.3">
      <c r="A536" t="s">
        <v>527</v>
      </c>
      <c r="B536" s="28">
        <v>413938</v>
      </c>
      <c r="D536" t="str">
        <f t="shared" si="10"/>
        <v>Stanfan</v>
      </c>
      <c r="E536">
        <f t="shared" si="11"/>
        <v>413938</v>
      </c>
    </row>
    <row r="537" spans="1:5" x14ac:dyDescent="0.3">
      <c r="A537" t="s">
        <v>536</v>
      </c>
      <c r="B537" s="28">
        <v>408205</v>
      </c>
      <c r="D537" t="str">
        <f t="shared" si="10"/>
        <v>Tripplenix</v>
      </c>
      <c r="E537">
        <f t="shared" si="11"/>
        <v>408205</v>
      </c>
    </row>
    <row r="538" spans="1:5" x14ac:dyDescent="0.3">
      <c r="A538" t="s">
        <v>95</v>
      </c>
      <c r="B538" s="28">
        <v>351770</v>
      </c>
      <c r="D538" t="str">
        <f t="shared" si="10"/>
        <v>Flexlax</v>
      </c>
      <c r="E538">
        <f t="shared" si="11"/>
        <v>351770</v>
      </c>
    </row>
    <row r="539" spans="1:5" x14ac:dyDescent="0.3">
      <c r="A539" t="s">
        <v>110</v>
      </c>
      <c r="B539" s="28">
        <v>351594</v>
      </c>
      <c r="D539" t="str">
        <f t="shared" si="10"/>
        <v>Indikaylax</v>
      </c>
      <c r="E539">
        <f t="shared" si="11"/>
        <v>351594</v>
      </c>
    </row>
    <row r="540" spans="1:5" x14ac:dyDescent="0.3">
      <c r="A540" t="s">
        <v>523</v>
      </c>
      <c r="B540" s="28">
        <v>350321</v>
      </c>
      <c r="D540" t="str">
        <f t="shared" si="10"/>
        <v>ronplex</v>
      </c>
      <c r="E540">
        <f t="shared" si="11"/>
        <v>350321</v>
      </c>
    </row>
    <row r="541" spans="1:5" x14ac:dyDescent="0.3">
      <c r="A541" t="s">
        <v>132</v>
      </c>
      <c r="B541" s="28">
        <v>322920</v>
      </c>
      <c r="D541" t="str">
        <f t="shared" si="10"/>
        <v>plexdax</v>
      </c>
      <c r="E541">
        <f t="shared" si="11"/>
        <v>322920</v>
      </c>
    </row>
    <row r="542" spans="1:5" x14ac:dyDescent="0.3">
      <c r="A542" t="s">
        <v>121</v>
      </c>
      <c r="B542" s="28">
        <v>267267</v>
      </c>
      <c r="D542" t="str">
        <f t="shared" si="10"/>
        <v>Lamtafan</v>
      </c>
      <c r="E542">
        <f t="shared" si="11"/>
        <v>267267</v>
      </c>
    </row>
    <row r="543" spans="1:5" x14ac:dyDescent="0.3">
      <c r="A543" t="s">
        <v>522</v>
      </c>
      <c r="B543" s="28">
        <v>247548</v>
      </c>
      <c r="D543" t="str">
        <f t="shared" si="10"/>
        <v>Redunilux</v>
      </c>
      <c r="E543">
        <f t="shared" si="11"/>
        <v>247548</v>
      </c>
    </row>
    <row r="544" spans="1:5" x14ac:dyDescent="0.3">
      <c r="A544" t="s">
        <v>541</v>
      </c>
      <c r="B544" s="28">
        <v>228263</v>
      </c>
      <c r="D544" t="str">
        <f t="shared" si="10"/>
        <v>Xx-trans</v>
      </c>
      <c r="E544">
        <f t="shared" si="11"/>
        <v>228263</v>
      </c>
    </row>
    <row r="545" spans="1:5" x14ac:dyDescent="0.3">
      <c r="A545" t="s">
        <v>106</v>
      </c>
      <c r="B545" s="28">
        <v>170826</v>
      </c>
      <c r="D545" t="str">
        <f t="shared" si="10"/>
        <v>Hottouch</v>
      </c>
      <c r="E545">
        <f t="shared" si="11"/>
        <v>170826</v>
      </c>
    </row>
    <row r="546" spans="1:5" x14ac:dyDescent="0.3">
      <c r="A546" t="s">
        <v>135</v>
      </c>
      <c r="B546" s="28">
        <v>166704</v>
      </c>
      <c r="D546" t="str">
        <f t="shared" si="10"/>
        <v>Plextom</v>
      </c>
      <c r="E546">
        <f t="shared" si="11"/>
        <v>166704</v>
      </c>
    </row>
    <row r="547" spans="1:5" x14ac:dyDescent="0.3">
      <c r="A547" t="s">
        <v>534</v>
      </c>
      <c r="B547" s="28">
        <v>142003</v>
      </c>
      <c r="D547" t="str">
        <f t="shared" si="10"/>
        <v>Triohow</v>
      </c>
      <c r="E547">
        <f t="shared" si="11"/>
        <v>142003</v>
      </c>
    </row>
    <row r="548" spans="1:5" x14ac:dyDescent="0.3">
      <c r="A548" t="s">
        <v>111</v>
      </c>
      <c r="B548" s="28">
        <v>121106</v>
      </c>
      <c r="D548" t="str">
        <f t="shared" si="10"/>
        <v>Intechi</v>
      </c>
      <c r="E548">
        <f t="shared" si="11"/>
        <v>121106</v>
      </c>
    </row>
    <row r="549" spans="1:5" x14ac:dyDescent="0.3">
      <c r="A549" t="s">
        <v>92</v>
      </c>
      <c r="B549" s="28">
        <v>98541</v>
      </c>
      <c r="D549" t="str">
        <f t="shared" si="10"/>
        <v>fasetone</v>
      </c>
      <c r="E549">
        <f t="shared" si="11"/>
        <v>98541</v>
      </c>
    </row>
    <row r="550" spans="1:5" x14ac:dyDescent="0.3">
      <c r="A550" t="s">
        <v>532</v>
      </c>
      <c r="B550" s="28">
        <v>42500</v>
      </c>
      <c r="D550" t="str">
        <f t="shared" si="10"/>
        <v>Tamhow</v>
      </c>
      <c r="E550">
        <f t="shared" si="11"/>
        <v>42500</v>
      </c>
    </row>
    <row r="551" spans="1:5" x14ac:dyDescent="0.3">
      <c r="A551" t="s">
        <v>542</v>
      </c>
      <c r="B551" s="28">
        <v>39754</v>
      </c>
      <c r="D551" t="str">
        <f t="shared" si="10"/>
        <v>Y-anplex</v>
      </c>
      <c r="E551">
        <f t="shared" si="11"/>
        <v>39754</v>
      </c>
    </row>
    <row r="552" spans="1:5" x14ac:dyDescent="0.3">
      <c r="A552" t="s">
        <v>545</v>
      </c>
      <c r="B552" s="28">
        <v>7216</v>
      </c>
      <c r="D552" t="str">
        <f t="shared" si="10"/>
        <v>Zonronzap</v>
      </c>
      <c r="E552">
        <f t="shared" si="11"/>
        <v>7216</v>
      </c>
    </row>
  </sheetData>
  <mergeCells count="5">
    <mergeCell ref="A264:B265"/>
    <mergeCell ref="B58:F59"/>
    <mergeCell ref="B88:C89"/>
    <mergeCell ref="A109:B110"/>
    <mergeCell ref="A252:B253"/>
  </mergeCells>
  <pageMargins left="0.7" right="0.7" top="0.75" bottom="0.75" header="0.3" footer="0.3"/>
  <drawing r:id="rId22"/>
  <tableParts count="2">
    <tablePart r:id="rId23"/>
    <tablePart r:id="rId2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3F80-85B8-4A78-8149-13BFFAE6A965}">
  <sheetPr codeName="Sheet2"/>
  <dimension ref="A1:V37"/>
  <sheetViews>
    <sheetView showGridLines="0" tabSelected="1" zoomScaleNormal="100" workbookViewId="0">
      <selection activeCell="W15" sqref="W15"/>
    </sheetView>
  </sheetViews>
  <sheetFormatPr defaultRowHeight="14.4" x14ac:dyDescent="0.3"/>
  <sheetData>
    <row r="1" spans="1:22" x14ac:dyDescent="0.3">
      <c r="A1" s="11"/>
      <c r="B1" s="11"/>
      <c r="C1" s="11"/>
      <c r="D1" s="23"/>
      <c r="E1" s="23"/>
      <c r="F1" s="23"/>
      <c r="G1" s="23"/>
      <c r="H1" s="23"/>
      <c r="I1" s="23"/>
      <c r="J1" s="23"/>
      <c r="K1" s="23"/>
      <c r="L1" s="23"/>
      <c r="M1" s="23"/>
      <c r="N1" s="23"/>
      <c r="O1" s="23"/>
      <c r="P1" s="23"/>
      <c r="Q1" s="23"/>
      <c r="R1" s="23"/>
      <c r="S1" s="23"/>
      <c r="T1" s="23"/>
      <c r="U1" s="23"/>
      <c r="V1" s="23"/>
    </row>
    <row r="2" spans="1:22" x14ac:dyDescent="0.3">
      <c r="A2" s="11"/>
      <c r="B2" s="11"/>
      <c r="C2" s="11"/>
      <c r="D2" s="23"/>
      <c r="E2" s="23"/>
      <c r="F2" s="23"/>
      <c r="G2" s="23"/>
      <c r="H2" s="23"/>
      <c r="I2" s="23"/>
      <c r="J2" s="23"/>
      <c r="K2" s="23"/>
      <c r="L2" s="23"/>
      <c r="M2" s="23"/>
      <c r="N2" s="23"/>
      <c r="O2" s="23"/>
      <c r="P2" s="23"/>
      <c r="Q2" s="23"/>
      <c r="R2" s="23"/>
      <c r="S2" s="23"/>
      <c r="T2" s="23"/>
      <c r="U2" s="23"/>
      <c r="V2" s="23"/>
    </row>
    <row r="3" spans="1:22" x14ac:dyDescent="0.3">
      <c r="A3" s="14"/>
      <c r="B3" s="14"/>
      <c r="C3" s="14"/>
      <c r="D3" s="23"/>
      <c r="E3" s="23"/>
      <c r="F3" s="23"/>
      <c r="G3" s="23"/>
      <c r="H3" s="23"/>
      <c r="I3" s="23"/>
      <c r="J3" s="23"/>
      <c r="K3" s="23"/>
      <c r="L3" s="23"/>
      <c r="M3" s="23"/>
      <c r="N3" s="23"/>
      <c r="O3" s="23"/>
      <c r="P3" s="23"/>
      <c r="Q3" s="23"/>
      <c r="R3" s="23"/>
      <c r="S3" s="23"/>
      <c r="T3" s="23"/>
      <c r="U3" s="23"/>
      <c r="V3" s="23"/>
    </row>
    <row r="4" spans="1:22" x14ac:dyDescent="0.3">
      <c r="A4" s="14"/>
      <c r="B4" s="14"/>
      <c r="C4" s="14"/>
      <c r="D4" s="14"/>
      <c r="E4" s="14"/>
      <c r="F4" s="14"/>
      <c r="G4" s="14"/>
      <c r="H4" s="14"/>
      <c r="I4" s="14"/>
      <c r="J4" s="14"/>
      <c r="K4" s="14"/>
      <c r="L4" s="14"/>
      <c r="M4" s="14"/>
      <c r="N4" s="14"/>
      <c r="O4" s="14"/>
      <c r="P4" s="14"/>
      <c r="Q4" s="14"/>
      <c r="R4" s="14"/>
      <c r="S4" s="14"/>
      <c r="T4" s="14"/>
      <c r="U4" s="14"/>
      <c r="V4" s="14"/>
    </row>
    <row r="5" spans="1:22" x14ac:dyDescent="0.3">
      <c r="A5" s="14"/>
      <c r="B5" s="14"/>
      <c r="C5" s="14"/>
      <c r="D5" s="14"/>
      <c r="E5" s="14"/>
      <c r="F5" s="14"/>
      <c r="G5" s="14"/>
      <c r="H5" s="14"/>
      <c r="I5" s="14"/>
      <c r="J5" s="14"/>
      <c r="K5" s="14"/>
      <c r="L5" s="14"/>
      <c r="M5" s="14"/>
      <c r="N5" s="14"/>
      <c r="O5" s="14"/>
      <c r="P5" s="14"/>
      <c r="Q5" s="14"/>
      <c r="R5" s="14"/>
      <c r="S5" s="14"/>
      <c r="T5" s="14"/>
      <c r="U5" s="14"/>
      <c r="V5" s="14"/>
    </row>
    <row r="6" spans="1:22" x14ac:dyDescent="0.3">
      <c r="A6" s="14"/>
      <c r="B6" s="14"/>
      <c r="C6" s="14"/>
      <c r="D6" s="14"/>
      <c r="E6" s="14"/>
      <c r="F6" s="14"/>
      <c r="G6" s="14"/>
      <c r="H6" s="14"/>
      <c r="I6" s="14"/>
      <c r="J6" s="14"/>
      <c r="K6" s="14"/>
      <c r="L6" s="14"/>
      <c r="M6" s="14"/>
      <c r="N6" s="14"/>
      <c r="O6" s="14"/>
      <c r="P6" s="14"/>
      <c r="Q6" s="14"/>
      <c r="R6" s="14"/>
      <c r="S6" s="14"/>
      <c r="T6" s="14"/>
      <c r="U6" s="14"/>
      <c r="V6" s="14"/>
    </row>
    <row r="7" spans="1:22" x14ac:dyDescent="0.3">
      <c r="A7" s="14"/>
      <c r="B7" s="14"/>
      <c r="C7" s="14"/>
      <c r="D7" s="14"/>
      <c r="E7" s="14"/>
      <c r="F7" s="14"/>
      <c r="G7" s="14"/>
      <c r="H7" s="14"/>
      <c r="I7" s="14"/>
      <c r="J7" s="14"/>
      <c r="K7" s="14"/>
      <c r="L7" s="14"/>
      <c r="M7" s="14"/>
      <c r="N7" s="14"/>
      <c r="O7" s="14"/>
      <c r="P7" s="14"/>
      <c r="Q7" s="14"/>
      <c r="R7" s="14"/>
      <c r="S7" s="14"/>
      <c r="T7" s="14"/>
      <c r="U7" s="14"/>
      <c r="V7" s="14"/>
    </row>
    <row r="8" spans="1:22" x14ac:dyDescent="0.3">
      <c r="A8" s="14"/>
      <c r="B8" s="14"/>
      <c r="C8" s="14"/>
      <c r="D8" s="14"/>
      <c r="E8" s="14"/>
      <c r="F8" s="14"/>
      <c r="G8" s="14"/>
      <c r="H8" s="14"/>
      <c r="I8" s="14"/>
      <c r="J8" s="14"/>
      <c r="K8" s="14"/>
      <c r="L8" s="14"/>
      <c r="M8" s="14"/>
      <c r="N8" s="14"/>
      <c r="O8" s="14"/>
      <c r="P8" s="14"/>
      <c r="Q8" s="14"/>
      <c r="R8" s="14"/>
      <c r="S8" s="14"/>
      <c r="T8" s="14"/>
      <c r="U8" s="14"/>
      <c r="V8" s="14"/>
    </row>
    <row r="9" spans="1:22" x14ac:dyDescent="0.3">
      <c r="A9" s="14"/>
      <c r="B9" s="14"/>
      <c r="C9" s="14"/>
      <c r="D9" s="14"/>
      <c r="E9" s="14"/>
      <c r="F9" s="14"/>
      <c r="G9" s="14"/>
      <c r="H9" s="14"/>
      <c r="I9" s="14"/>
      <c r="J9" s="14"/>
      <c r="K9" s="14"/>
      <c r="L9" s="14"/>
      <c r="M9" s="14"/>
      <c r="N9" s="14"/>
      <c r="O9" s="14"/>
      <c r="P9" s="14"/>
      <c r="Q9" s="14"/>
      <c r="R9" s="14"/>
      <c r="S9" s="14"/>
      <c r="T9" s="14"/>
      <c r="U9" s="14"/>
      <c r="V9" s="14"/>
    </row>
    <row r="10" spans="1:22" x14ac:dyDescent="0.3">
      <c r="A10" s="14"/>
      <c r="B10" s="14"/>
      <c r="C10" s="14"/>
      <c r="D10" s="14"/>
      <c r="E10" s="14"/>
      <c r="F10" s="14"/>
      <c r="G10" s="14"/>
      <c r="H10" s="14"/>
      <c r="I10" s="14"/>
      <c r="J10" s="14"/>
      <c r="K10" s="14"/>
      <c r="L10" s="14"/>
      <c r="M10" s="14"/>
      <c r="N10" s="14"/>
      <c r="O10" s="14"/>
      <c r="P10" s="14"/>
      <c r="Q10" s="14"/>
      <c r="R10" s="14"/>
      <c r="S10" s="14"/>
      <c r="T10" s="14"/>
      <c r="U10" s="14"/>
      <c r="V10" s="14"/>
    </row>
    <row r="11" spans="1:22" x14ac:dyDescent="0.3">
      <c r="A11" s="14"/>
      <c r="B11" s="14"/>
      <c r="C11" s="14"/>
      <c r="D11" s="14"/>
      <c r="E11" s="14"/>
      <c r="F11" s="14"/>
      <c r="G11" s="14"/>
      <c r="H11" s="14"/>
      <c r="I11" s="14"/>
      <c r="J11" s="14"/>
      <c r="K11" s="14"/>
      <c r="L11" s="14"/>
      <c r="M11" s="14"/>
      <c r="N11" s="14"/>
      <c r="O11" s="14"/>
      <c r="P11" s="14"/>
      <c r="Q11" s="14"/>
      <c r="R11" s="14"/>
      <c r="S11" s="14"/>
      <c r="T11" s="14"/>
      <c r="U11" s="14"/>
      <c r="V11" s="14"/>
    </row>
    <row r="12" spans="1:22" x14ac:dyDescent="0.3">
      <c r="A12" s="14"/>
      <c r="B12" s="14"/>
      <c r="C12" s="14"/>
      <c r="D12" s="14"/>
      <c r="E12" s="14"/>
      <c r="F12" s="14"/>
      <c r="G12" s="14"/>
      <c r="H12" s="14"/>
      <c r="I12" s="14"/>
      <c r="J12" s="14"/>
      <c r="K12" s="14"/>
      <c r="L12" s="14"/>
      <c r="M12" s="14"/>
      <c r="N12" s="14"/>
      <c r="O12" s="14"/>
      <c r="P12" s="14"/>
      <c r="Q12" s="14"/>
      <c r="R12" s="14"/>
      <c r="S12" s="14"/>
      <c r="T12" s="14"/>
      <c r="U12" s="14"/>
      <c r="V12" s="14"/>
    </row>
    <row r="13" spans="1:22" x14ac:dyDescent="0.3">
      <c r="A13" s="14"/>
      <c r="B13" s="14"/>
      <c r="C13" s="14"/>
      <c r="D13" s="14"/>
      <c r="E13" s="14"/>
      <c r="F13" s="14"/>
      <c r="G13" s="14"/>
      <c r="H13" s="14"/>
      <c r="I13" s="14"/>
      <c r="J13" s="14"/>
      <c r="K13" s="14"/>
      <c r="L13" s="14"/>
      <c r="M13" s="14"/>
      <c r="N13" s="14"/>
      <c r="O13" s="14"/>
      <c r="P13" s="14"/>
      <c r="Q13" s="14"/>
      <c r="R13" s="14"/>
      <c r="S13" s="14"/>
      <c r="T13" s="14"/>
      <c r="U13" s="14"/>
      <c r="V13" s="14"/>
    </row>
    <row r="14" spans="1:22" x14ac:dyDescent="0.3">
      <c r="A14" s="14"/>
      <c r="B14" s="14"/>
      <c r="C14" s="14"/>
      <c r="D14" s="14"/>
      <c r="E14" s="14"/>
      <c r="F14" s="14"/>
      <c r="G14" s="14"/>
      <c r="H14" s="14"/>
      <c r="I14" s="14"/>
      <c r="J14" s="14"/>
      <c r="K14" s="14"/>
      <c r="L14" s="14"/>
      <c r="M14" s="14"/>
      <c r="N14" s="14"/>
      <c r="O14" s="14"/>
      <c r="P14" s="14"/>
      <c r="Q14" s="14"/>
      <c r="R14" s="14"/>
      <c r="S14" s="14"/>
      <c r="T14" s="14"/>
      <c r="U14" s="14"/>
      <c r="V14" s="14"/>
    </row>
    <row r="15" spans="1:22" x14ac:dyDescent="0.3">
      <c r="A15" s="14"/>
      <c r="B15" s="14"/>
      <c r="C15" s="14"/>
      <c r="D15" s="14"/>
      <c r="E15" s="14"/>
      <c r="F15" s="14"/>
      <c r="G15" s="14"/>
      <c r="H15" s="14"/>
      <c r="I15" s="14"/>
      <c r="J15" s="14"/>
      <c r="K15" s="14"/>
      <c r="L15" s="14"/>
      <c r="M15" s="14"/>
      <c r="N15" s="14"/>
      <c r="O15" s="14"/>
      <c r="P15" s="14"/>
      <c r="Q15" s="14"/>
      <c r="R15" s="14"/>
      <c r="S15" s="14"/>
      <c r="T15" s="14"/>
      <c r="U15" s="14"/>
      <c r="V15" s="14"/>
    </row>
    <row r="16" spans="1:22" x14ac:dyDescent="0.3">
      <c r="A16" s="14"/>
      <c r="B16" s="14"/>
      <c r="C16" s="14"/>
      <c r="D16" s="14"/>
      <c r="E16" s="14"/>
      <c r="F16" s="14"/>
      <c r="G16" s="14"/>
      <c r="H16" s="14"/>
      <c r="I16" s="14"/>
      <c r="J16" s="14"/>
      <c r="K16" s="14"/>
      <c r="L16" s="14"/>
      <c r="M16" s="14"/>
      <c r="N16" s="14"/>
      <c r="O16" s="14"/>
      <c r="P16" s="14"/>
      <c r="Q16" s="14"/>
      <c r="R16" s="14"/>
      <c r="S16" s="14"/>
      <c r="T16" s="14"/>
      <c r="U16" s="14"/>
      <c r="V16" s="14"/>
    </row>
    <row r="17" spans="1:22" x14ac:dyDescent="0.3">
      <c r="A17" s="14"/>
      <c r="B17" s="14"/>
      <c r="C17" s="14"/>
      <c r="D17" s="14"/>
      <c r="E17" s="14"/>
      <c r="F17" s="14"/>
      <c r="G17" s="14"/>
      <c r="H17" s="14"/>
      <c r="I17" s="14"/>
      <c r="J17" s="14"/>
      <c r="K17" s="14"/>
      <c r="L17" s="14"/>
      <c r="M17" s="14"/>
      <c r="N17" s="14"/>
      <c r="O17" s="14"/>
      <c r="P17" s="14"/>
      <c r="Q17" s="14"/>
      <c r="R17" s="14"/>
      <c r="S17" s="14"/>
      <c r="T17" s="14"/>
      <c r="U17" s="14"/>
      <c r="V17" s="14"/>
    </row>
    <row r="18" spans="1:22" x14ac:dyDescent="0.3">
      <c r="A18" s="14"/>
      <c r="B18" s="14"/>
      <c r="C18" s="14"/>
      <c r="D18" s="14"/>
      <c r="E18" s="14"/>
      <c r="F18" s="14"/>
      <c r="G18" s="14"/>
      <c r="H18" s="14"/>
      <c r="I18" s="14"/>
      <c r="J18" s="14"/>
      <c r="K18" s="14"/>
      <c r="L18" s="14"/>
      <c r="M18" s="14"/>
      <c r="N18" s="14"/>
      <c r="O18" s="14"/>
      <c r="P18" s="14"/>
      <c r="Q18" s="14"/>
      <c r="R18" s="14"/>
      <c r="S18" s="14"/>
      <c r="T18" s="14"/>
      <c r="U18" s="14"/>
      <c r="V18" s="14"/>
    </row>
    <row r="19" spans="1:22" x14ac:dyDescent="0.3">
      <c r="A19" s="14"/>
      <c r="B19" s="14"/>
      <c r="C19" s="14"/>
      <c r="D19" s="14"/>
      <c r="E19" s="14"/>
      <c r="F19" s="14"/>
      <c r="G19" s="14"/>
      <c r="H19" s="14"/>
      <c r="I19" s="14"/>
      <c r="J19" s="14"/>
      <c r="K19" s="14"/>
      <c r="L19" s="14"/>
      <c r="M19" s="14"/>
      <c r="N19" s="14"/>
      <c r="O19" s="14"/>
      <c r="P19" s="14"/>
      <c r="Q19" s="14"/>
      <c r="R19" s="14"/>
      <c r="S19" s="14"/>
      <c r="T19" s="14"/>
      <c r="U19" s="14"/>
      <c r="V19" s="14"/>
    </row>
    <row r="20" spans="1:22" x14ac:dyDescent="0.3">
      <c r="A20" s="14"/>
      <c r="B20" s="14"/>
      <c r="C20" s="14"/>
      <c r="D20" s="14"/>
      <c r="E20" s="14"/>
      <c r="F20" s="14"/>
      <c r="G20" s="14"/>
      <c r="H20" s="14"/>
      <c r="I20" s="14"/>
      <c r="J20" s="14"/>
      <c r="K20" s="14"/>
      <c r="L20" s="14"/>
      <c r="M20" s="14"/>
      <c r="N20" s="14"/>
      <c r="O20" s="14"/>
      <c r="P20" s="14"/>
      <c r="Q20" s="14"/>
      <c r="R20" s="14"/>
      <c r="S20" s="14"/>
      <c r="T20" s="14"/>
      <c r="U20" s="14"/>
      <c r="V20" s="14"/>
    </row>
    <row r="21" spans="1:22" x14ac:dyDescent="0.3">
      <c r="A21" s="14"/>
      <c r="B21" s="14"/>
      <c r="C21" s="14"/>
      <c r="D21" s="14"/>
      <c r="E21" s="14"/>
      <c r="F21" s="14"/>
      <c r="G21" s="14"/>
      <c r="H21" s="14"/>
      <c r="I21" s="14"/>
      <c r="J21" s="14"/>
      <c r="K21" s="14"/>
      <c r="L21" s="14"/>
      <c r="M21" s="14"/>
      <c r="N21" s="14"/>
      <c r="O21" s="14"/>
      <c r="P21" s="14"/>
      <c r="Q21" s="14"/>
      <c r="R21" s="14"/>
      <c r="S21" s="14"/>
      <c r="T21" s="14"/>
      <c r="U21" s="14"/>
      <c r="V21" s="14"/>
    </row>
    <row r="22" spans="1:22" x14ac:dyDescent="0.3">
      <c r="A22" s="14"/>
      <c r="B22" s="14"/>
      <c r="C22" s="14"/>
      <c r="D22" s="14"/>
      <c r="E22" s="14"/>
      <c r="F22" s="14"/>
      <c r="G22" s="14"/>
      <c r="H22" s="14"/>
      <c r="I22" s="14"/>
      <c r="J22" s="14"/>
      <c r="K22" s="14"/>
      <c r="L22" s="14"/>
      <c r="M22" s="14"/>
      <c r="N22" s="14"/>
      <c r="O22" s="14"/>
      <c r="P22" s="14"/>
      <c r="Q22" s="14"/>
      <c r="R22" s="14"/>
      <c r="S22" s="14"/>
      <c r="T22" s="14"/>
      <c r="U22" s="14"/>
      <c r="V22" s="14"/>
    </row>
    <row r="23" spans="1:22" x14ac:dyDescent="0.3">
      <c r="A23" s="14"/>
      <c r="B23" s="14"/>
      <c r="C23" s="14"/>
      <c r="D23" s="14"/>
      <c r="E23" s="14"/>
      <c r="F23" s="14"/>
      <c r="G23" s="14"/>
      <c r="H23" s="14"/>
      <c r="I23" s="14"/>
      <c r="J23" s="14"/>
      <c r="K23" s="14"/>
      <c r="L23" s="14"/>
      <c r="M23" s="14"/>
      <c r="N23" s="14"/>
      <c r="O23" s="14"/>
      <c r="P23" s="14"/>
      <c r="Q23" s="14"/>
      <c r="R23" s="14"/>
      <c r="S23" s="14"/>
      <c r="T23" s="14"/>
      <c r="U23" s="14"/>
      <c r="V23" s="14"/>
    </row>
    <row r="24" spans="1:22" x14ac:dyDescent="0.3">
      <c r="A24" s="14"/>
      <c r="B24" s="14"/>
      <c r="C24" s="14"/>
      <c r="D24" s="14"/>
      <c r="E24" s="14"/>
      <c r="F24" s="14"/>
      <c r="G24" s="14"/>
      <c r="H24" s="14"/>
      <c r="I24" s="14"/>
      <c r="J24" s="14"/>
      <c r="K24" s="14"/>
      <c r="L24" s="14"/>
      <c r="M24" s="14"/>
      <c r="N24" s="14"/>
      <c r="O24" s="14"/>
      <c r="P24" s="14"/>
      <c r="Q24" s="14"/>
      <c r="R24" s="14"/>
      <c r="S24" s="14"/>
      <c r="T24" s="14"/>
      <c r="U24" s="14"/>
      <c r="V24" s="14"/>
    </row>
    <row r="25" spans="1:22" x14ac:dyDescent="0.3">
      <c r="A25" s="14"/>
      <c r="B25" s="14"/>
      <c r="C25" s="14"/>
      <c r="D25" s="14"/>
      <c r="E25" s="14"/>
      <c r="F25" s="14"/>
      <c r="G25" s="14"/>
      <c r="H25" s="14"/>
      <c r="I25" s="14"/>
      <c r="J25" s="14"/>
      <c r="K25" s="14"/>
      <c r="L25" s="14"/>
      <c r="M25" s="14"/>
      <c r="N25" s="14"/>
      <c r="O25" s="14"/>
      <c r="P25" s="14"/>
      <c r="Q25" s="14"/>
      <c r="R25" s="14"/>
      <c r="S25" s="14"/>
      <c r="T25" s="14"/>
      <c r="U25" s="14"/>
      <c r="V25" s="14"/>
    </row>
    <row r="26" spans="1:22" x14ac:dyDescent="0.3">
      <c r="A26" s="14"/>
      <c r="B26" s="14"/>
      <c r="C26" s="14"/>
      <c r="D26" s="14"/>
      <c r="E26" s="14"/>
      <c r="F26" s="14"/>
      <c r="G26" s="14"/>
      <c r="H26" s="14"/>
      <c r="I26" s="14"/>
      <c r="J26" s="14"/>
      <c r="K26" s="14"/>
      <c r="L26" s="14"/>
      <c r="M26" s="14"/>
      <c r="N26" s="14"/>
      <c r="O26" s="14"/>
      <c r="P26" s="14"/>
      <c r="Q26" s="14"/>
      <c r="R26" s="14"/>
      <c r="S26" s="14"/>
      <c r="T26" s="14"/>
      <c r="U26" s="14"/>
      <c r="V26" s="14"/>
    </row>
    <row r="27" spans="1:22" x14ac:dyDescent="0.3">
      <c r="A27" s="14"/>
      <c r="B27" s="14"/>
      <c r="C27" s="14"/>
      <c r="D27" s="14"/>
      <c r="E27" s="14"/>
      <c r="F27" s="14"/>
      <c r="G27" s="14"/>
      <c r="H27" s="14"/>
      <c r="I27" s="14"/>
      <c r="J27" s="14"/>
      <c r="K27" s="14"/>
      <c r="L27" s="14"/>
      <c r="M27" s="14"/>
      <c r="N27" s="14"/>
      <c r="O27" s="14"/>
      <c r="P27" s="14"/>
      <c r="Q27" s="14"/>
      <c r="R27" s="14"/>
      <c r="S27" s="14"/>
      <c r="T27" s="14"/>
      <c r="U27" s="14"/>
      <c r="V27" s="14"/>
    </row>
    <row r="28" spans="1:22" x14ac:dyDescent="0.3">
      <c r="A28" s="14"/>
      <c r="B28" s="14"/>
      <c r="C28" s="14"/>
      <c r="D28" s="14"/>
      <c r="E28" s="14"/>
      <c r="F28" s="14"/>
      <c r="G28" s="14"/>
      <c r="H28" s="14"/>
      <c r="I28" s="14"/>
      <c r="J28" s="14"/>
      <c r="K28" s="14"/>
      <c r="L28" s="14"/>
      <c r="M28" s="14"/>
      <c r="N28" s="14"/>
      <c r="O28" s="14"/>
      <c r="P28" s="14"/>
      <c r="Q28" s="14"/>
      <c r="R28" s="14"/>
      <c r="S28" s="14"/>
      <c r="T28" s="14"/>
      <c r="U28" s="14"/>
      <c r="V28" s="14"/>
    </row>
    <row r="29" spans="1:22" x14ac:dyDescent="0.3">
      <c r="A29" s="14"/>
      <c r="B29" s="14"/>
      <c r="C29" s="14"/>
      <c r="D29" s="14"/>
      <c r="E29" s="14"/>
      <c r="F29" s="14"/>
      <c r="G29" s="14"/>
      <c r="H29" s="14"/>
      <c r="I29" s="14"/>
      <c r="J29" s="14"/>
      <c r="K29" s="14"/>
      <c r="L29" s="14"/>
      <c r="M29" s="14"/>
      <c r="N29" s="14"/>
      <c r="O29" s="14"/>
      <c r="P29" s="14"/>
      <c r="Q29" s="14"/>
      <c r="R29" s="14"/>
      <c r="S29" s="14"/>
      <c r="T29" s="14"/>
      <c r="U29" s="14"/>
      <c r="V29" s="14"/>
    </row>
    <row r="30" spans="1:22" x14ac:dyDescent="0.3">
      <c r="A30" s="14"/>
      <c r="B30" s="14"/>
      <c r="C30" s="14"/>
      <c r="D30" s="14"/>
      <c r="E30" s="14"/>
      <c r="F30" s="14"/>
      <c r="G30" s="14"/>
      <c r="H30" s="14"/>
      <c r="I30" s="14"/>
      <c r="J30" s="14"/>
      <c r="K30" s="14"/>
      <c r="L30" s="14"/>
      <c r="M30" s="14"/>
      <c r="N30" s="14"/>
      <c r="O30" s="14"/>
      <c r="P30" s="14"/>
      <c r="Q30" s="14"/>
      <c r="R30" s="14"/>
      <c r="S30" s="14"/>
      <c r="T30" s="14"/>
      <c r="U30" s="14"/>
      <c r="V30" s="14"/>
    </row>
    <row r="31" spans="1:22" x14ac:dyDescent="0.3">
      <c r="A31" s="14"/>
      <c r="B31" s="14"/>
      <c r="C31" s="14"/>
      <c r="D31" s="14"/>
      <c r="E31" s="14"/>
      <c r="F31" s="14"/>
      <c r="G31" s="14"/>
      <c r="H31" s="14"/>
      <c r="I31" s="14"/>
      <c r="J31" s="14"/>
      <c r="K31" s="14"/>
      <c r="L31" s="14"/>
      <c r="M31" s="14"/>
      <c r="N31" s="14"/>
      <c r="O31" s="14"/>
      <c r="P31" s="14"/>
      <c r="Q31" s="14"/>
      <c r="R31" s="14"/>
      <c r="S31" s="14"/>
      <c r="T31" s="14"/>
      <c r="U31" s="14"/>
      <c r="V31" s="14"/>
    </row>
    <row r="32" spans="1:22" x14ac:dyDescent="0.3">
      <c r="A32" s="14"/>
      <c r="B32" s="14"/>
      <c r="C32" s="14"/>
      <c r="D32" s="14"/>
      <c r="E32" s="14"/>
      <c r="F32" s="14"/>
      <c r="G32" s="14"/>
      <c r="H32" s="14"/>
      <c r="I32" s="14"/>
      <c r="J32" s="14"/>
      <c r="K32" s="14"/>
      <c r="L32" s="14"/>
      <c r="M32" s="14"/>
      <c r="N32" s="14"/>
      <c r="O32" s="14"/>
      <c r="P32" s="14"/>
      <c r="Q32" s="14"/>
      <c r="R32" s="14"/>
      <c r="S32" s="14"/>
      <c r="T32" s="14"/>
      <c r="U32" s="14"/>
      <c r="V32" s="14"/>
    </row>
    <row r="33" spans="1:22" x14ac:dyDescent="0.3">
      <c r="A33" s="14"/>
      <c r="B33" s="14"/>
      <c r="C33" s="14"/>
      <c r="D33" s="14"/>
      <c r="E33" s="14"/>
      <c r="F33" s="14"/>
      <c r="G33" s="14"/>
      <c r="H33" s="14"/>
      <c r="I33" s="14"/>
      <c r="J33" s="14"/>
      <c r="K33" s="14"/>
      <c r="L33" s="14"/>
      <c r="M33" s="14"/>
      <c r="N33" s="14"/>
      <c r="O33" s="14"/>
      <c r="P33" s="14"/>
      <c r="Q33" s="14"/>
      <c r="R33" s="14"/>
      <c r="S33" s="14"/>
      <c r="T33" s="14"/>
      <c r="U33" s="14"/>
      <c r="V33" s="14"/>
    </row>
    <row r="34" spans="1:22" x14ac:dyDescent="0.3">
      <c r="A34" s="14"/>
      <c r="B34" s="14"/>
      <c r="C34" s="14"/>
      <c r="D34" s="14"/>
      <c r="E34" s="14"/>
      <c r="F34" s="14"/>
      <c r="G34" s="14"/>
      <c r="H34" s="14"/>
      <c r="I34" s="14"/>
      <c r="J34" s="14"/>
      <c r="K34" s="14"/>
      <c r="L34" s="14"/>
      <c r="M34" s="14"/>
      <c r="N34" s="14"/>
      <c r="O34" s="14"/>
      <c r="P34" s="14"/>
      <c r="Q34" s="14"/>
      <c r="R34" s="14"/>
      <c r="S34" s="14"/>
      <c r="T34" s="14"/>
      <c r="U34" s="14"/>
      <c r="V34" s="14"/>
    </row>
    <row r="35" spans="1:22" x14ac:dyDescent="0.3">
      <c r="A35" s="14"/>
      <c r="B35" s="14"/>
      <c r="C35" s="14"/>
      <c r="D35" s="14"/>
      <c r="E35" s="14"/>
      <c r="F35" s="14"/>
      <c r="G35" s="14"/>
      <c r="H35" s="14"/>
      <c r="I35" s="14"/>
      <c r="J35" s="14"/>
      <c r="K35" s="14"/>
      <c r="L35" s="14"/>
      <c r="M35" s="14"/>
      <c r="N35" s="14"/>
      <c r="O35" s="14"/>
      <c r="P35" s="14"/>
      <c r="Q35" s="14"/>
      <c r="R35" s="14"/>
      <c r="S35" s="14"/>
      <c r="T35" s="14"/>
      <c r="U35" s="14"/>
      <c r="V35" s="14"/>
    </row>
    <row r="36" spans="1:22" x14ac:dyDescent="0.3">
      <c r="A36" s="14"/>
      <c r="B36" s="14"/>
      <c r="C36" s="14"/>
      <c r="D36" s="14"/>
      <c r="E36" s="14"/>
      <c r="F36" s="14"/>
      <c r="G36" s="14"/>
      <c r="H36" s="14"/>
      <c r="I36" s="14"/>
      <c r="J36" s="14"/>
      <c r="K36" s="14"/>
      <c r="L36" s="14"/>
      <c r="M36" s="14"/>
      <c r="N36" s="14"/>
      <c r="O36" s="14"/>
      <c r="P36" s="14"/>
      <c r="Q36" s="14"/>
      <c r="R36" s="14"/>
      <c r="S36" s="14"/>
      <c r="T36" s="14"/>
      <c r="U36" s="14"/>
      <c r="V36" s="14"/>
    </row>
    <row r="37" spans="1:22" x14ac:dyDescent="0.3">
      <c r="A37" s="14"/>
      <c r="B37" s="14"/>
      <c r="C37" s="14"/>
      <c r="D37" s="14"/>
      <c r="E37" s="14"/>
      <c r="F37" s="14"/>
      <c r="G37" s="14"/>
      <c r="H37" s="14"/>
      <c r="I37" s="14"/>
      <c r="J37" s="14"/>
      <c r="K37" s="14"/>
      <c r="L37" s="14"/>
      <c r="M37" s="14"/>
      <c r="N37" s="14"/>
      <c r="O37" s="14"/>
      <c r="P37" s="14"/>
      <c r="Q37" s="14"/>
      <c r="R37" s="14"/>
      <c r="S37" s="14"/>
      <c r="T37" s="14"/>
      <c r="U37" s="14"/>
      <c r="V37"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asd">
                <anchor moveWithCells="1" sizeWithCells="1">
                  <from>
                    <xdr:col>0</xdr:col>
                    <xdr:colOff>358140</xdr:colOff>
                    <xdr:row>33</xdr:row>
                    <xdr:rowOff>144780</xdr:rowOff>
                  </from>
                  <to>
                    <xdr:col>2</xdr:col>
                    <xdr:colOff>411480</xdr:colOff>
                    <xdr:row>35</xdr:row>
                    <xdr:rowOff>83820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D9F19F-87A9-492F-9B69-7976FB6E44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master sheet</vt:lpstr>
      <vt:lpstr>visualization</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6444 SHRIYASH</dc:creator>
  <cp:lastModifiedBy>6444 SHRIYASH</cp:lastModifiedBy>
  <dcterms:created xsi:type="dcterms:W3CDTF">2024-01-28T14:18:34Z</dcterms:created>
  <dcterms:modified xsi:type="dcterms:W3CDTF">2024-02-06T13:30:36Z</dcterms:modified>
</cp:coreProperties>
</file>